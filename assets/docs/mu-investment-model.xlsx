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1" documentId="11_4EF8BD179ECA4F0BB4CF39AD7DA6A8BA7359E3F1" xr6:coauthVersionLast="47" xr6:coauthVersionMax="47" xr10:uidLastSave="{4637EC75-D142-47D7-BD42-7480DBEDC779}"/>
  <bookViews>
    <workbookView xWindow="0" yWindow="0" windowWidth="0" windowHeight="0" xr2:uid="{00000000-000D-0000-FFFF-FFFF00000000}"/>
  </bookViews>
  <sheets>
    <sheet name="Model Guide" sheetId="1" r:id="rId1"/>
    <sheet name="Assumptions" sheetId="2" r:id="rId2"/>
    <sheet name="Historical P&amp;L" sheetId="3" r:id="rId3"/>
    <sheet name="Projected P&amp;L" sheetId="4" r:id="rId4"/>
    <sheet name="Balance Sheet &amp; CF" sheetId="5" r:id="rId5"/>
    <sheet name="Supply Model" sheetId="6" r:id="rId6"/>
    <sheet name="Bit Economics" sheetId="7" r:id="rId7"/>
    <sheet name="HBM Contracts" sheetId="8" r:id="rId8"/>
    <sheet name="Debt Schedule" sheetId="9" r:id="rId9"/>
    <sheet name="Working Capital" sheetId="10" r:id="rId10"/>
    <sheet name="Share Count Bridge" sheetId="11" r:id="rId11"/>
    <sheet name="DCF" sheetId="12" r:id="rId12"/>
    <sheet name="Valuation" sheetId="13" r:id="rId13"/>
    <sheet name="ROIC Analysis" sheetId="14" r:id="rId14"/>
    <sheet name="Comps" sheetId="15" r:id="rId15"/>
    <sheet name="Risks &amp; Catalysts" sheetId="16" r:id="rId16"/>
    <sheet name="Thesis Summary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4" l="1"/>
  <c r="E63" i="14"/>
  <c r="F62" i="14"/>
  <c r="E62" i="14"/>
  <c r="F61" i="14"/>
  <c r="E61" i="14"/>
  <c r="F60" i="14"/>
  <c r="E60" i="14"/>
  <c r="F59" i="14"/>
  <c r="E59" i="14"/>
  <c r="E44" i="14"/>
  <c r="D44" i="14"/>
  <c r="C44" i="14"/>
  <c r="B44" i="14"/>
  <c r="G17" i="14"/>
  <c r="G23" i="14" s="1"/>
  <c r="G35" i="14" s="1"/>
  <c r="F17" i="14"/>
  <c r="F23" i="14" s="1"/>
  <c r="F35" i="14" s="1"/>
  <c r="E17" i="14"/>
  <c r="E23" i="14" s="1"/>
  <c r="E35" i="14" s="1"/>
  <c r="D17" i="14"/>
  <c r="D23" i="14" s="1"/>
  <c r="D35" i="14" s="1"/>
  <c r="C17" i="14"/>
  <c r="C23" i="14" s="1"/>
  <c r="C35" i="14" s="1"/>
  <c r="B17" i="14"/>
  <c r="B23" i="14" s="1"/>
  <c r="B35" i="14" s="1"/>
  <c r="G11" i="14"/>
  <c r="F11" i="14"/>
  <c r="E11" i="14"/>
  <c r="D11" i="14"/>
  <c r="C11" i="14"/>
  <c r="B11" i="14"/>
  <c r="G9" i="14"/>
  <c r="F9" i="14"/>
  <c r="E9" i="14"/>
  <c r="D9" i="14"/>
  <c r="C9" i="14"/>
  <c r="B9" i="14"/>
  <c r="D51" i="13"/>
  <c r="C51" i="13"/>
  <c r="B51" i="13"/>
  <c r="B34" i="13"/>
  <c r="B33" i="13"/>
  <c r="B32" i="13"/>
  <c r="D27" i="13"/>
  <c r="C27" i="13"/>
  <c r="E27" i="13" s="1"/>
  <c r="B27" i="13"/>
  <c r="F27" i="13" s="1"/>
  <c r="D26" i="13"/>
  <c r="C26" i="13"/>
  <c r="E26" i="13" s="1"/>
  <c r="B26" i="13"/>
  <c r="F26" i="13" s="1"/>
  <c r="D25" i="13"/>
  <c r="C25" i="13"/>
  <c r="E25" i="13" s="1"/>
  <c r="B25" i="13"/>
  <c r="F25" i="13" s="1"/>
  <c r="D24" i="13"/>
  <c r="C24" i="13"/>
  <c r="E24" i="13" s="1"/>
  <c r="B24" i="13"/>
  <c r="F24" i="13" s="1"/>
  <c r="F28" i="13" s="1"/>
  <c r="F29" i="13" s="1"/>
  <c r="F20" i="13"/>
  <c r="E19" i="13"/>
  <c r="F19" i="13" s="1"/>
  <c r="E18" i="13"/>
  <c r="F18" i="13" s="1"/>
  <c r="C14" i="13"/>
  <c r="D14" i="13" s="1"/>
  <c r="B7" i="13"/>
  <c r="B10" i="13" s="1"/>
  <c r="D96" i="12"/>
  <c r="D97" i="12" s="1"/>
  <c r="C96" i="12"/>
  <c r="C97" i="12" s="1"/>
  <c r="B96" i="12"/>
  <c r="B97" i="12" s="1"/>
  <c r="B82" i="12"/>
  <c r="B85" i="12" s="1"/>
  <c r="F73" i="12"/>
  <c r="G73" i="12" s="1"/>
  <c r="G72" i="12"/>
  <c r="G71" i="12"/>
  <c r="G70" i="12"/>
  <c r="G69" i="12"/>
  <c r="G26" i="12"/>
  <c r="F26" i="12"/>
  <c r="E26" i="12"/>
  <c r="D26" i="12"/>
  <c r="C26" i="12"/>
  <c r="B26" i="12"/>
  <c r="G21" i="12"/>
  <c r="G23" i="12" s="1"/>
  <c r="F21" i="12"/>
  <c r="F23" i="12" s="1"/>
  <c r="E21" i="12"/>
  <c r="E23" i="12" s="1"/>
  <c r="D21" i="12"/>
  <c r="D23" i="12" s="1"/>
  <c r="C21" i="12"/>
  <c r="C23" i="12" s="1"/>
  <c r="B21" i="12"/>
  <c r="B23" i="12" s="1"/>
  <c r="B13" i="12"/>
  <c r="B11" i="12"/>
  <c r="B8" i="12"/>
  <c r="B14" i="12" s="1"/>
  <c r="H43" i="11"/>
  <c r="G43" i="11"/>
  <c r="F43" i="11"/>
  <c r="F44" i="11" s="1"/>
  <c r="E43" i="11"/>
  <c r="E44" i="11" s="1"/>
  <c r="D43" i="11"/>
  <c r="D44" i="11" s="1"/>
  <c r="C43" i="11"/>
  <c r="C44" i="11" s="1"/>
  <c r="B43" i="11"/>
  <c r="B44" i="11" s="1"/>
  <c r="G37" i="11"/>
  <c r="F37" i="11"/>
  <c r="E37" i="11"/>
  <c r="D37" i="11"/>
  <c r="C37" i="11"/>
  <c r="B37" i="11"/>
  <c r="H36" i="11"/>
  <c r="F28" i="11"/>
  <c r="F32" i="11" s="1"/>
  <c r="C21" i="11"/>
  <c r="B21" i="11"/>
  <c r="I13" i="11"/>
  <c r="H13" i="11"/>
  <c r="G13" i="11"/>
  <c r="F13" i="11"/>
  <c r="E13" i="11"/>
  <c r="D13" i="11"/>
  <c r="C13" i="11"/>
  <c r="C14" i="11" s="1"/>
  <c r="B13" i="11"/>
  <c r="B14" i="11" s="1"/>
  <c r="D6" i="11"/>
  <c r="H19" i="10"/>
  <c r="G19" i="10"/>
  <c r="F19" i="10"/>
  <c r="E19" i="10"/>
  <c r="D19" i="10"/>
  <c r="C19" i="10"/>
  <c r="B19" i="10"/>
  <c r="H10" i="10"/>
  <c r="G10" i="10"/>
  <c r="F10" i="10"/>
  <c r="E10" i="10"/>
  <c r="D10" i="10"/>
  <c r="C10" i="10"/>
  <c r="B10" i="10"/>
  <c r="I56" i="9"/>
  <c r="H56" i="9"/>
  <c r="G56" i="9"/>
  <c r="F56" i="9"/>
  <c r="E56" i="9"/>
  <c r="D56" i="9"/>
  <c r="I55" i="9"/>
  <c r="H55" i="9"/>
  <c r="G55" i="9"/>
  <c r="F55" i="9"/>
  <c r="E55" i="9"/>
  <c r="D55" i="9"/>
  <c r="I54" i="9"/>
  <c r="H54" i="9"/>
  <c r="G54" i="9"/>
  <c r="F54" i="9"/>
  <c r="E54" i="9"/>
  <c r="D54" i="9"/>
  <c r="I53" i="9"/>
  <c r="H53" i="9"/>
  <c r="G53" i="9"/>
  <c r="F53" i="9"/>
  <c r="E53" i="9"/>
  <c r="D53" i="9"/>
  <c r="I52" i="9"/>
  <c r="H52" i="9"/>
  <c r="G52" i="9"/>
  <c r="F52" i="9"/>
  <c r="E52" i="9"/>
  <c r="D52" i="9"/>
  <c r="I51" i="9"/>
  <c r="H51" i="9"/>
  <c r="G51" i="9"/>
  <c r="F51" i="9"/>
  <c r="E51" i="9"/>
  <c r="D51" i="9"/>
  <c r="I50" i="9"/>
  <c r="H50" i="9"/>
  <c r="G50" i="9"/>
  <c r="F50" i="9"/>
  <c r="E50" i="9"/>
  <c r="D50" i="9"/>
  <c r="I49" i="9"/>
  <c r="H49" i="9"/>
  <c r="G49" i="9"/>
  <c r="F49" i="9"/>
  <c r="E49" i="9"/>
  <c r="D49" i="9"/>
  <c r="I48" i="9"/>
  <c r="I57" i="9" s="1"/>
  <c r="H48" i="9"/>
  <c r="H57" i="9" s="1"/>
  <c r="G48" i="9"/>
  <c r="G57" i="9" s="1"/>
  <c r="F48" i="9"/>
  <c r="F57" i="9" s="1"/>
  <c r="E48" i="9"/>
  <c r="E57" i="9" s="1"/>
  <c r="D48" i="9"/>
  <c r="D57" i="9" s="1"/>
  <c r="E30" i="9"/>
  <c r="D30" i="9"/>
  <c r="C30" i="9"/>
  <c r="B30" i="9"/>
  <c r="C17" i="9"/>
  <c r="C16" i="9"/>
  <c r="B24" i="9" s="1"/>
  <c r="C24" i="9" s="1"/>
  <c r="D24" i="9" s="1"/>
  <c r="E24" i="9" s="1"/>
  <c r="F24" i="9" s="1"/>
  <c r="G24" i="9" s="1"/>
  <c r="H24" i="9" s="1"/>
  <c r="G41" i="8"/>
  <c r="G40" i="8"/>
  <c r="F8" i="8"/>
  <c r="E8" i="8"/>
  <c r="D8" i="8"/>
  <c r="C8" i="8"/>
  <c r="B8" i="8"/>
  <c r="E78" i="7"/>
  <c r="E77" i="7"/>
  <c r="E76" i="7"/>
  <c r="E75" i="7"/>
  <c r="E74" i="7"/>
  <c r="F70" i="7"/>
  <c r="E70" i="7"/>
  <c r="D70" i="7"/>
  <c r="C70" i="7"/>
  <c r="B70" i="7"/>
  <c r="F59" i="7"/>
  <c r="F60" i="7" s="1"/>
  <c r="F62" i="7" s="1"/>
  <c r="F67" i="7" s="1"/>
  <c r="F69" i="7" s="1"/>
  <c r="E59" i="7"/>
  <c r="E60" i="7" s="1"/>
  <c r="E62" i="7" s="1"/>
  <c r="E67" i="7" s="1"/>
  <c r="E69" i="7" s="1"/>
  <c r="D59" i="7"/>
  <c r="D60" i="7" s="1"/>
  <c r="D62" i="7" s="1"/>
  <c r="D67" i="7" s="1"/>
  <c r="D69" i="7" s="1"/>
  <c r="C59" i="7"/>
  <c r="C60" i="7" s="1"/>
  <c r="C62" i="7" s="1"/>
  <c r="C67" i="7" s="1"/>
  <c r="C69" i="7" s="1"/>
  <c r="B59" i="7"/>
  <c r="B60" i="7" s="1"/>
  <c r="B62" i="7" s="1"/>
  <c r="B67" i="7" s="1"/>
  <c r="B69" i="7" s="1"/>
  <c r="K33" i="7"/>
  <c r="J33" i="7"/>
  <c r="I33" i="7"/>
  <c r="H33" i="7"/>
  <c r="G33" i="7"/>
  <c r="F33" i="7"/>
  <c r="E33" i="7"/>
  <c r="D33" i="7"/>
  <c r="C33" i="7"/>
  <c r="K19" i="7"/>
  <c r="J19" i="7"/>
  <c r="I19" i="7"/>
  <c r="H19" i="7"/>
  <c r="G19" i="7"/>
  <c r="F19" i="7"/>
  <c r="E19" i="7"/>
  <c r="D19" i="7"/>
  <c r="C19" i="7"/>
  <c r="B19" i="7"/>
  <c r="K17" i="7"/>
  <c r="J17" i="7"/>
  <c r="I17" i="7"/>
  <c r="H17" i="7"/>
  <c r="G17" i="7"/>
  <c r="F17" i="7"/>
  <c r="E17" i="7"/>
  <c r="D17" i="7"/>
  <c r="C17" i="7"/>
  <c r="K12" i="7"/>
  <c r="K13" i="7" s="1"/>
  <c r="J12" i="7"/>
  <c r="J13" i="7" s="1"/>
  <c r="I12" i="7"/>
  <c r="I13" i="7" s="1"/>
  <c r="H12" i="7"/>
  <c r="H13" i="7" s="1"/>
  <c r="G12" i="7"/>
  <c r="G13" i="7" s="1"/>
  <c r="F12" i="7"/>
  <c r="F13" i="7" s="1"/>
  <c r="E12" i="7"/>
  <c r="E13" i="7" s="1"/>
  <c r="D12" i="7"/>
  <c r="D13" i="7" s="1"/>
  <c r="C12" i="7"/>
  <c r="C13" i="7" s="1"/>
  <c r="B12" i="7"/>
  <c r="B13" i="7" s="1"/>
  <c r="K9" i="7"/>
  <c r="K22" i="7" s="1"/>
  <c r="J9" i="7"/>
  <c r="J22" i="7" s="1"/>
  <c r="I9" i="7"/>
  <c r="I22" i="7" s="1"/>
  <c r="H9" i="7"/>
  <c r="H22" i="7" s="1"/>
  <c r="G9" i="7"/>
  <c r="G22" i="7" s="1"/>
  <c r="F9" i="7"/>
  <c r="F22" i="7" s="1"/>
  <c r="E9" i="7"/>
  <c r="E22" i="7" s="1"/>
  <c r="D9" i="7"/>
  <c r="D22" i="7" s="1"/>
  <c r="C9" i="7"/>
  <c r="C22" i="7" s="1"/>
  <c r="D87" i="6"/>
  <c r="C87" i="6"/>
  <c r="E44" i="6"/>
  <c r="D44" i="6"/>
  <c r="C44" i="6"/>
  <c r="B44" i="6"/>
  <c r="B38" i="6"/>
  <c r="E34" i="5"/>
  <c r="D34" i="5"/>
  <c r="C34" i="5"/>
  <c r="B34" i="5"/>
  <c r="F31" i="5"/>
  <c r="F30" i="5"/>
  <c r="F29" i="5"/>
  <c r="E25" i="5"/>
  <c r="D25" i="5"/>
  <c r="C25" i="5"/>
  <c r="B25" i="5"/>
  <c r="F24" i="5"/>
  <c r="F23" i="5"/>
  <c r="F25" i="5" s="1"/>
  <c r="E9" i="5"/>
  <c r="E19" i="5" s="1"/>
  <c r="D9" i="5"/>
  <c r="D19" i="5" s="1"/>
  <c r="C9" i="5"/>
  <c r="C19" i="5" s="1"/>
  <c r="B9" i="5"/>
  <c r="B19" i="5" s="1"/>
  <c r="F7" i="5"/>
  <c r="I26" i="4"/>
  <c r="H26" i="4"/>
  <c r="G15" i="4"/>
  <c r="F15" i="4"/>
  <c r="E15" i="4"/>
  <c r="D15" i="4"/>
  <c r="C15" i="4"/>
  <c r="B15" i="4"/>
  <c r="G8" i="4"/>
  <c r="F8" i="4"/>
  <c r="E8" i="4"/>
  <c r="D8" i="4"/>
  <c r="C8" i="4"/>
  <c r="B8" i="4"/>
  <c r="I40" i="3"/>
  <c r="H40" i="3"/>
  <c r="I35" i="3"/>
  <c r="H35" i="3"/>
  <c r="I28" i="3"/>
  <c r="H28" i="3"/>
  <c r="I27" i="3"/>
  <c r="H27" i="3"/>
  <c r="G16" i="3"/>
  <c r="F16" i="3"/>
  <c r="I16" i="3" s="1"/>
  <c r="E16" i="3"/>
  <c r="D16" i="3"/>
  <c r="C16" i="3"/>
  <c r="B16" i="3"/>
  <c r="H16" i="3" s="1"/>
  <c r="G8" i="3"/>
  <c r="F8" i="3"/>
  <c r="E8" i="3"/>
  <c r="D8" i="3"/>
  <c r="C8" i="3"/>
  <c r="B8" i="3"/>
  <c r="M72" i="2"/>
  <c r="L72" i="2"/>
  <c r="K72" i="2"/>
  <c r="J72" i="2"/>
  <c r="I72" i="2"/>
  <c r="H72" i="2"/>
  <c r="G72" i="2"/>
  <c r="F72" i="2"/>
  <c r="E72" i="2"/>
  <c r="D72" i="2"/>
  <c r="C72" i="2"/>
  <c r="B72" i="2"/>
  <c r="M65" i="2"/>
  <c r="L65" i="2"/>
  <c r="K65" i="2"/>
  <c r="J65" i="2"/>
  <c r="I65" i="2"/>
  <c r="H65" i="2"/>
  <c r="G65" i="2"/>
  <c r="G21" i="3" s="1"/>
  <c r="F65" i="2"/>
  <c r="F21" i="3" s="1"/>
  <c r="E65" i="2"/>
  <c r="E21" i="3" s="1"/>
  <c r="D65" i="2"/>
  <c r="D21" i="3" s="1"/>
  <c r="C65" i="2"/>
  <c r="C21" i="3" s="1"/>
  <c r="B65" i="2"/>
  <c r="B21" i="3" s="1"/>
  <c r="H21" i="3" s="1"/>
  <c r="M64" i="2"/>
  <c r="L64" i="2"/>
  <c r="K64" i="2"/>
  <c r="J64" i="2"/>
  <c r="I64" i="2"/>
  <c r="H64" i="2"/>
  <c r="G64" i="2"/>
  <c r="G20" i="3" s="1"/>
  <c r="G22" i="3" s="1"/>
  <c r="F64" i="2"/>
  <c r="F20" i="3" s="1"/>
  <c r="E64" i="2"/>
  <c r="E20" i="3" s="1"/>
  <c r="E22" i="3" s="1"/>
  <c r="D64" i="2"/>
  <c r="D20" i="3" s="1"/>
  <c r="D22" i="3" s="1"/>
  <c r="C64" i="2"/>
  <c r="C20" i="3" s="1"/>
  <c r="C22" i="3" s="1"/>
  <c r="B64" i="2"/>
  <c r="B20" i="3" s="1"/>
  <c r="M63" i="2"/>
  <c r="M66" i="2" s="1"/>
  <c r="M67" i="2" s="1"/>
  <c r="M68" i="2" s="1"/>
  <c r="L63" i="2"/>
  <c r="L66" i="2" s="1"/>
  <c r="L67" i="2" s="1"/>
  <c r="L68" i="2" s="1"/>
  <c r="K63" i="2"/>
  <c r="K66" i="2" s="1"/>
  <c r="K67" i="2" s="1"/>
  <c r="K68" i="2" s="1"/>
  <c r="J63" i="2"/>
  <c r="J66" i="2" s="1"/>
  <c r="J67" i="2" s="1"/>
  <c r="J68" i="2" s="1"/>
  <c r="B70" i="2" s="1"/>
  <c r="I63" i="2"/>
  <c r="I66" i="2" s="1"/>
  <c r="I67" i="2" s="1"/>
  <c r="I68" i="2" s="1"/>
  <c r="H63" i="2"/>
  <c r="H66" i="2" s="1"/>
  <c r="H67" i="2" s="1"/>
  <c r="H68" i="2" s="1"/>
  <c r="G63" i="2"/>
  <c r="G66" i="2" s="1"/>
  <c r="G67" i="2" s="1"/>
  <c r="G68" i="2" s="1"/>
  <c r="F63" i="2"/>
  <c r="F66" i="2" s="1"/>
  <c r="F67" i="2" s="1"/>
  <c r="F68" i="2" s="1"/>
  <c r="B69" i="2" s="1"/>
  <c r="E63" i="2"/>
  <c r="E66" i="2" s="1"/>
  <c r="E67" i="2" s="1"/>
  <c r="E68" i="2" s="1"/>
  <c r="D63" i="2"/>
  <c r="D66" i="2" s="1"/>
  <c r="D67" i="2" s="1"/>
  <c r="D68" i="2" s="1"/>
  <c r="C63" i="2"/>
  <c r="C66" i="2" s="1"/>
  <c r="C67" i="2" s="1"/>
  <c r="C68" i="2" s="1"/>
  <c r="B63" i="2"/>
  <c r="B66" i="2" s="1"/>
  <c r="B67" i="2" s="1"/>
  <c r="B68" i="2" s="1"/>
  <c r="M60" i="2"/>
  <c r="L60" i="2"/>
  <c r="K60" i="2"/>
  <c r="J60" i="2"/>
  <c r="I60" i="2"/>
  <c r="H60" i="2"/>
  <c r="G60" i="2"/>
  <c r="F60" i="2"/>
  <c r="E60" i="2"/>
  <c r="D60" i="2"/>
  <c r="C60" i="2"/>
  <c r="B60" i="2"/>
  <c r="B58" i="2"/>
  <c r="B57" i="2"/>
  <c r="B56" i="2"/>
  <c r="B47" i="2"/>
  <c r="B34" i="2"/>
  <c r="D8" i="1"/>
  <c r="B4" i="17" l="1"/>
  <c r="B48" i="2"/>
  <c r="B5" i="17" s="1"/>
  <c r="B10" i="3"/>
  <c r="B62" i="2"/>
  <c r="B38" i="3" s="1"/>
  <c r="B61" i="2"/>
  <c r="B11" i="3" s="1"/>
  <c r="C10" i="3"/>
  <c r="C13" i="3" s="1"/>
  <c r="C62" i="2"/>
  <c r="C38" i="3" s="1"/>
  <c r="C39" i="3" s="1"/>
  <c r="C61" i="2"/>
  <c r="C11" i="3" s="1"/>
  <c r="D10" i="3"/>
  <c r="D13" i="3" s="1"/>
  <c r="D62" i="2"/>
  <c r="D38" i="3" s="1"/>
  <c r="D39" i="3" s="1"/>
  <c r="D61" i="2"/>
  <c r="D11" i="3" s="1"/>
  <c r="E10" i="3"/>
  <c r="E13" i="3" s="1"/>
  <c r="E62" i="2"/>
  <c r="E38" i="3" s="1"/>
  <c r="E39" i="3" s="1"/>
  <c r="E61" i="2"/>
  <c r="E11" i="3" s="1"/>
  <c r="F10" i="3"/>
  <c r="F62" i="2"/>
  <c r="F38" i="3" s="1"/>
  <c r="F61" i="2"/>
  <c r="F11" i="3" s="1"/>
  <c r="G10" i="3"/>
  <c r="G13" i="3" s="1"/>
  <c r="G62" i="2"/>
  <c r="G38" i="3" s="1"/>
  <c r="G39" i="3" s="1"/>
  <c r="G61" i="2"/>
  <c r="G11" i="3" s="1"/>
  <c r="B10" i="4"/>
  <c r="H62" i="2"/>
  <c r="B12" i="4" s="1"/>
  <c r="H61" i="2"/>
  <c r="C10" i="4"/>
  <c r="I62" i="2"/>
  <c r="C12" i="4" s="1"/>
  <c r="I61" i="2"/>
  <c r="D10" i="4"/>
  <c r="J62" i="2"/>
  <c r="D12" i="4" s="1"/>
  <c r="J61" i="2"/>
  <c r="E10" i="4"/>
  <c r="K62" i="2"/>
  <c r="E12" i="4" s="1"/>
  <c r="K61" i="2"/>
  <c r="F10" i="4"/>
  <c r="L62" i="2"/>
  <c r="F12" i="4" s="1"/>
  <c r="L61" i="2"/>
  <c r="G10" i="4"/>
  <c r="M62" i="2"/>
  <c r="G12" i="4" s="1"/>
  <c r="M61" i="2"/>
  <c r="B22" i="3"/>
  <c r="H20" i="3"/>
  <c r="H22" i="3" s="1"/>
  <c r="F22" i="3"/>
  <c r="I20" i="3"/>
  <c r="I21" i="3"/>
  <c r="B17" i="3"/>
  <c r="B12" i="3"/>
  <c r="H8" i="3"/>
  <c r="H17" i="3" s="1"/>
  <c r="C17" i="3"/>
  <c r="C12" i="3"/>
  <c r="C9" i="3"/>
  <c r="D17" i="3"/>
  <c r="D12" i="3"/>
  <c r="D9" i="3"/>
  <c r="E17" i="3"/>
  <c r="E12" i="3"/>
  <c r="E9" i="3"/>
  <c r="H8" i="4"/>
  <c r="H35" i="4" s="1"/>
  <c r="F17" i="3"/>
  <c r="F12" i="3"/>
  <c r="F9" i="3"/>
  <c r="I8" i="3"/>
  <c r="I17" i="3" s="1"/>
  <c r="G17" i="3"/>
  <c r="G12" i="3"/>
  <c r="G9" i="3"/>
  <c r="B20" i="4"/>
  <c r="B19" i="4"/>
  <c r="B16" i="4"/>
  <c r="B11" i="4"/>
  <c r="B9" i="4"/>
  <c r="C20" i="4"/>
  <c r="C19" i="4"/>
  <c r="C21" i="4" s="1"/>
  <c r="C16" i="4"/>
  <c r="C11" i="4"/>
  <c r="C9" i="4"/>
  <c r="D20" i="4"/>
  <c r="D19" i="4"/>
  <c r="D16" i="4"/>
  <c r="D11" i="4"/>
  <c r="D9" i="4"/>
  <c r="I8" i="4"/>
  <c r="I35" i="4" s="1"/>
  <c r="E20" i="4"/>
  <c r="E19" i="4"/>
  <c r="E21" i="4" s="1"/>
  <c r="E16" i="4"/>
  <c r="E11" i="4"/>
  <c r="E9" i="4"/>
  <c r="F20" i="4"/>
  <c r="F19" i="4"/>
  <c r="F21" i="4" s="1"/>
  <c r="F16" i="4"/>
  <c r="F11" i="4"/>
  <c r="F9" i="4"/>
  <c r="G20" i="4"/>
  <c r="G19" i="4"/>
  <c r="G21" i="4" s="1"/>
  <c r="G16" i="4"/>
  <c r="G11" i="4"/>
  <c r="G9" i="4"/>
  <c r="F9" i="5"/>
  <c r="F19" i="5" s="1"/>
  <c r="G7" i="5"/>
  <c r="G9" i="5" s="1"/>
  <c r="G19" i="5" s="1"/>
  <c r="C23" i="7"/>
  <c r="D23" i="7"/>
  <c r="E23" i="7"/>
  <c r="F23" i="7"/>
  <c r="G23" i="7"/>
  <c r="H23" i="7"/>
  <c r="I23" i="7"/>
  <c r="J23" i="7"/>
  <c r="K23" i="7"/>
  <c r="D62" i="9"/>
  <c r="D61" i="9"/>
  <c r="E62" i="9"/>
  <c r="E61" i="9"/>
  <c r="F62" i="9"/>
  <c r="F61" i="9"/>
  <c r="G62" i="9"/>
  <c r="G61" i="9"/>
  <c r="H62" i="9"/>
  <c r="H61" i="9"/>
  <c r="I62" i="9"/>
  <c r="I61" i="9"/>
  <c r="B22" i="10"/>
  <c r="B14" i="10"/>
  <c r="B29" i="10" s="1"/>
  <c r="B32" i="10" s="1"/>
  <c r="C22" i="10"/>
  <c r="C14" i="10"/>
  <c r="C29" i="10" s="1"/>
  <c r="C32" i="10" s="1"/>
  <c r="D22" i="10"/>
  <c r="D14" i="10"/>
  <c r="D29" i="10" s="1"/>
  <c r="D32" i="10" s="1"/>
  <c r="E22" i="10"/>
  <c r="E14" i="10"/>
  <c r="E29" i="10" s="1"/>
  <c r="E32" i="10" s="1"/>
  <c r="F22" i="10"/>
  <c r="F14" i="10"/>
  <c r="F29" i="10" s="1"/>
  <c r="F32" i="10" s="1"/>
  <c r="G22" i="10"/>
  <c r="G14" i="10"/>
  <c r="G29" i="10" s="1"/>
  <c r="G32" i="10" s="1"/>
  <c r="H22" i="10"/>
  <c r="H14" i="10"/>
  <c r="H29" i="10" s="1"/>
  <c r="H32" i="10" s="1"/>
  <c r="D11" i="11"/>
  <c r="D14" i="11" s="1"/>
  <c r="E6" i="11"/>
  <c r="G44" i="11"/>
  <c r="H44" i="11"/>
  <c r="G53" i="14"/>
  <c r="G54" i="14" s="1"/>
  <c r="F53" i="14"/>
  <c r="F54" i="14" s="1"/>
  <c r="E53" i="14"/>
  <c r="E54" i="14" s="1"/>
  <c r="D53" i="14"/>
  <c r="D54" i="14" s="1"/>
  <c r="C53" i="14"/>
  <c r="C54" i="14" s="1"/>
  <c r="B53" i="14"/>
  <c r="B54" i="14" s="1"/>
  <c r="B55" i="14" s="1"/>
  <c r="C55" i="14" s="1"/>
  <c r="D55" i="14" s="1"/>
  <c r="E55" i="14" s="1"/>
  <c r="F55" i="14" s="1"/>
  <c r="G55" i="14" s="1"/>
  <c r="G21" i="14"/>
  <c r="F21" i="14"/>
  <c r="E21" i="14"/>
  <c r="D21" i="14"/>
  <c r="C21" i="14"/>
  <c r="B21" i="14"/>
  <c r="G35" i="12"/>
  <c r="F35" i="12"/>
  <c r="E35" i="12"/>
  <c r="D35" i="12"/>
  <c r="C35" i="12"/>
  <c r="B35" i="12"/>
  <c r="B24" i="12"/>
  <c r="B25" i="12" s="1"/>
  <c r="B31" i="12" s="1"/>
  <c r="B36" i="12" s="1"/>
  <c r="C24" i="12"/>
  <c r="C25" i="12" s="1"/>
  <c r="C31" i="12" s="1"/>
  <c r="C36" i="12" s="1"/>
  <c r="D24" i="12"/>
  <c r="D25" i="12" s="1"/>
  <c r="D31" i="12" s="1"/>
  <c r="D36" i="12" s="1"/>
  <c r="E24" i="12"/>
  <c r="E25" i="12" s="1"/>
  <c r="E31" i="12" s="1"/>
  <c r="E36" i="12" s="1"/>
  <c r="F24" i="12"/>
  <c r="F25" i="12" s="1"/>
  <c r="F31" i="12" s="1"/>
  <c r="F36" i="12" s="1"/>
  <c r="G24" i="12"/>
  <c r="G25" i="12" s="1"/>
  <c r="G31" i="12" s="1"/>
  <c r="B34" i="14"/>
  <c r="B36" i="14" s="1"/>
  <c r="B20" i="14"/>
  <c r="C34" i="14"/>
  <c r="C36" i="14" s="1"/>
  <c r="C20" i="14"/>
  <c r="C22" i="14" s="1"/>
  <c r="D34" i="14"/>
  <c r="D36" i="14" s="1"/>
  <c r="D20" i="14"/>
  <c r="D22" i="14" s="1"/>
  <c r="E34" i="14"/>
  <c r="E36" i="14" s="1"/>
  <c r="E20" i="14"/>
  <c r="E22" i="14" s="1"/>
  <c r="F34" i="14"/>
  <c r="F36" i="14" s="1"/>
  <c r="F20" i="14"/>
  <c r="F22" i="14" s="1"/>
  <c r="G34" i="14"/>
  <c r="G36" i="14" s="1"/>
  <c r="G20" i="14"/>
  <c r="G22" i="14" s="1"/>
  <c r="B29" i="14" l="1"/>
  <c r="B28" i="14"/>
  <c r="B27" i="14"/>
  <c r="B26" i="14"/>
  <c r="B22" i="14"/>
  <c r="B40" i="12"/>
  <c r="B42" i="12" s="1"/>
  <c r="G36" i="12"/>
  <c r="B37" i="12"/>
  <c r="B47" i="12" s="1"/>
  <c r="E11" i="11"/>
  <c r="E14" i="11" s="1"/>
  <c r="F6" i="11"/>
  <c r="H45" i="10"/>
  <c r="H44" i="10"/>
  <c r="H23" i="10"/>
  <c r="G45" i="10"/>
  <c r="G44" i="10"/>
  <c r="G23" i="10"/>
  <c r="F45" i="10"/>
  <c r="F44" i="10"/>
  <c r="F23" i="10"/>
  <c r="E45" i="10"/>
  <c r="E44" i="10"/>
  <c r="E23" i="10"/>
  <c r="D45" i="10"/>
  <c r="D44" i="10"/>
  <c r="D23" i="10"/>
  <c r="C45" i="10"/>
  <c r="C44" i="10"/>
  <c r="C23" i="10"/>
  <c r="B45" i="10"/>
  <c r="B44" i="10"/>
  <c r="G23" i="4"/>
  <c r="G17" i="4"/>
  <c r="F23" i="4"/>
  <c r="F17" i="4"/>
  <c r="E23" i="4"/>
  <c r="E17" i="4"/>
  <c r="I11" i="4"/>
  <c r="I16" i="4"/>
  <c r="D17" i="4"/>
  <c r="D21" i="4"/>
  <c r="D23" i="4" s="1"/>
  <c r="I19" i="4"/>
  <c r="I20" i="4"/>
  <c r="C23" i="4"/>
  <c r="C17" i="4"/>
  <c r="B17" i="4"/>
  <c r="B21" i="4"/>
  <c r="B23" i="4" s="1"/>
  <c r="H19" i="4"/>
  <c r="H20" i="4"/>
  <c r="G24" i="3"/>
  <c r="G18" i="3"/>
  <c r="I18" i="3"/>
  <c r="I12" i="3"/>
  <c r="H16" i="4"/>
  <c r="F24" i="3"/>
  <c r="F18" i="3"/>
  <c r="E24" i="3"/>
  <c r="E18" i="3"/>
  <c r="D24" i="3"/>
  <c r="D18" i="3"/>
  <c r="C24" i="3"/>
  <c r="C18" i="3"/>
  <c r="H24" i="3"/>
  <c r="H18" i="3"/>
  <c r="H12" i="3"/>
  <c r="B24" i="3"/>
  <c r="B18" i="3"/>
  <c r="I22" i="3"/>
  <c r="I24" i="3" s="1"/>
  <c r="I12" i="4"/>
  <c r="I10" i="4"/>
  <c r="H11" i="4"/>
  <c r="I11" i="3"/>
  <c r="H12" i="4"/>
  <c r="F39" i="3"/>
  <c r="I38" i="3"/>
  <c r="H10" i="4"/>
  <c r="F13" i="3"/>
  <c r="I10" i="3"/>
  <c r="I13" i="3" s="1"/>
  <c r="H11" i="3"/>
  <c r="B39" i="3"/>
  <c r="H38" i="3"/>
  <c r="B13" i="3"/>
  <c r="H10" i="3"/>
  <c r="H13" i="3" s="1"/>
  <c r="H39" i="3" l="1"/>
  <c r="I39" i="3"/>
  <c r="I41" i="3"/>
  <c r="I29" i="3"/>
  <c r="I25" i="3"/>
  <c r="B41" i="3"/>
  <c r="B29" i="3"/>
  <c r="B25" i="3"/>
  <c r="H41" i="3"/>
  <c r="H29" i="3"/>
  <c r="H25" i="3"/>
  <c r="C41" i="3"/>
  <c r="C29" i="3"/>
  <c r="C25" i="3"/>
  <c r="D41" i="3"/>
  <c r="D29" i="3"/>
  <c r="D25" i="3"/>
  <c r="E41" i="3"/>
  <c r="E29" i="3"/>
  <c r="E25" i="3"/>
  <c r="F41" i="3"/>
  <c r="F29" i="3"/>
  <c r="F25" i="3"/>
  <c r="G41" i="3"/>
  <c r="G29" i="3"/>
  <c r="G25" i="3"/>
  <c r="H21" i="4"/>
  <c r="H23" i="4" s="1"/>
  <c r="B28" i="4"/>
  <c r="B24" i="4"/>
  <c r="C28" i="4"/>
  <c r="C24" i="4"/>
  <c r="I21" i="4"/>
  <c r="D28" i="4"/>
  <c r="D24" i="4"/>
  <c r="I23" i="4"/>
  <c r="E28" i="4"/>
  <c r="E24" i="4"/>
  <c r="F28" i="4"/>
  <c r="F24" i="4"/>
  <c r="G28" i="4"/>
  <c r="G24" i="4"/>
  <c r="F11" i="11"/>
  <c r="F14" i="11" s="1"/>
  <c r="G6" i="11"/>
  <c r="B44" i="12"/>
  <c r="B43" i="12"/>
  <c r="B48" i="12" s="1"/>
  <c r="B49" i="12" s="1"/>
  <c r="B51" i="12" s="1"/>
  <c r="B53" i="12" s="1"/>
  <c r="B55" i="12" s="1"/>
  <c r="G11" i="11" l="1"/>
  <c r="G14" i="11" s="1"/>
  <c r="H6" i="11"/>
  <c r="G29" i="4"/>
  <c r="G31" i="4" s="1"/>
  <c r="G33" i="4" s="1"/>
  <c r="F29" i="4"/>
  <c r="F31" i="4" s="1"/>
  <c r="F33" i="4" s="1"/>
  <c r="E29" i="4"/>
  <c r="E31" i="4" s="1"/>
  <c r="E33" i="4" s="1"/>
  <c r="I28" i="4"/>
  <c r="I24" i="4"/>
  <c r="D29" i="4"/>
  <c r="D31" i="4" s="1"/>
  <c r="D33" i="4" s="1"/>
  <c r="I33" i="4" s="1"/>
  <c r="C16" i="13" s="1"/>
  <c r="E16" i="13" s="1"/>
  <c r="F16" i="13" s="1"/>
  <c r="C29" i="4"/>
  <c r="C31" i="4" s="1"/>
  <c r="C33" i="4" s="1"/>
  <c r="H33" i="4" s="1"/>
  <c r="B29" i="4"/>
  <c r="B31" i="4" s="1"/>
  <c r="H28" i="4"/>
  <c r="H24" i="4"/>
  <c r="G30" i="3"/>
  <c r="G32" i="3" s="1"/>
  <c r="G34" i="3" s="1"/>
  <c r="F30" i="3"/>
  <c r="F32" i="3" s="1"/>
  <c r="F34" i="3" s="1"/>
  <c r="E30" i="3"/>
  <c r="E32" i="3" s="1"/>
  <c r="E34" i="3" s="1"/>
  <c r="D30" i="3"/>
  <c r="D32" i="3" s="1"/>
  <c r="D34" i="3" s="1"/>
  <c r="C30" i="3"/>
  <c r="C32" i="3" s="1"/>
  <c r="C34" i="3" s="1"/>
  <c r="H30" i="3"/>
  <c r="H32" i="3" s="1"/>
  <c r="H34" i="3" s="1"/>
  <c r="B30" i="3"/>
  <c r="B32" i="3" s="1"/>
  <c r="B34" i="3" s="1"/>
  <c r="I30" i="3"/>
  <c r="I32" i="3" s="1"/>
  <c r="I34" i="3" s="1"/>
  <c r="H29" i="4" l="1"/>
  <c r="H31" i="4" s="1"/>
  <c r="C15" i="13"/>
  <c r="E15" i="13" s="1"/>
  <c r="F15" i="13" s="1"/>
  <c r="C17" i="13"/>
  <c r="E17" i="13" s="1"/>
  <c r="F17" i="13" s="1"/>
  <c r="I29" i="4"/>
  <c r="I31" i="4" s="1"/>
  <c r="H11" i="11"/>
  <c r="H14" i="11" s="1"/>
  <c r="I6" i="11"/>
  <c r="I11" i="11" s="1"/>
  <c r="I1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Multiple sources</author>
    <author>Source</author>
    <author>TrendForce</author>
    <author>Src</author>
    <author>SemiAnalysis, Tom's Hardware 4/3/26</author>
    <author>etnews, ainvest, Goldman</author>
    <author>SemiAnalysis 'Memory Mania'</author>
    <author>Transcript</author>
    <author>10-Q</author>
    <author>10-Q, 10-K, 8-K filings; Cantor Fitzgerald analysis</author>
    <author>Model</author>
    <author>Transcripts</author>
  </authors>
  <commentList>
    <comment ref="A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DRAM ASP GROWTH CROSS-CHECK:
SemiAnalysis: DRAM prices to &gt;2x in CY26, double-digit increase CY27
Samsung: +100% CQ1-26, +30% CQ2-26 (etnews 4/5/26)
Goldman Sachs: +90-95% QoQ CQ1, +58-63% CQ2 conventional DRAM
DDR5 contract: $7 -&gt; $19.50/unit (+179%)
Industry: 'today's price is the cheapest it will ever be' (etnews)</t>
        </r>
      </text>
    </comment>
    <comment ref="B8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FQ1-25: DRAM pricing recovering from trough</t>
        </r>
      </text>
    </comment>
    <comment ref="C8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FQ2-25: Modest sequential improvement</t>
        </r>
      </text>
    </comment>
    <comment ref="D8" authorId="1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FQ3-25: HBM demand pulling DRAM pricing</t>
        </r>
      </text>
    </comment>
    <comment ref="E8" authorId="1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FQ4-25: Acceleration in DRAM pricing</t>
        </r>
      </text>
    </comment>
    <comment ref="F8" authorId="1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FQ1-26: Strong cycle dynamics; mgmt 10-Q</t>
        </r>
      </text>
    </comment>
    <comment ref="G8" authorId="2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FQ2-26 ACTUAL: mid-60s% QoQ per mgmt.
TRENDFORCE Q1-26 CONTRACT DATA:
  Conv DRAM total: +90-95% QoQ (record)
  Server DDR5: +90% QoQ
  PC DDR5: +100%+ QoQ (record)
  Mobile LPDDR5X: +90% QoQ
Micron's mid-60s% blended = conservative vs industry
(MU mix has higher HBM which had smaller QoQ moves)
Source: TrendForce 2/2/26, Tom's Hardware</t>
        </r>
      </text>
    </comment>
    <comment ref="H8" authorId="2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FQ3-26E: +40% QoQ blended DRAM ASP.
TRENDFORCE Q2-26 FORECAST:
  Conv DRAM: +58-63% QoQ
  Samsung: +30% avg across all DRAM incl HBM (etnews 4/5/26)
  Server to hyperscalers: +70% QoQ proposed
Our +40% is blended across HBM+commodity.
DDR5 16Gb SPOT diverging: -5.1% late March (Middle East crisis panic)
Contract vs spot bifurcation: contracts still surging, spot soft
Source: TrendForce, Tom's Hardware, etnews, Seoul Econ Daily</t>
        </r>
      </text>
    </comment>
    <comment ref="I8" authorId="3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FQ4-26E: Q3 (CQ3=~FQ4) is key inflection per etnews. Big 3 capacity not yet expanded. AI demand remains decisive factor. Conservative decel from peak.</t>
        </r>
      </text>
    </comment>
    <comment ref="J8" authorId="1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FQ1-27E: Normalization as new supply enters</t>
        </r>
      </text>
    </comment>
    <comment ref="K8" authorId="1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FQ2-27E: Stabilization</t>
        </r>
      </text>
    </comment>
    <comment ref="L8" authorId="1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FQ3-27E: Late-cycle moderation</t>
        </r>
      </text>
    </comment>
    <comment ref="M8" authorId="1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FQ4-27E: Flat as cycle matures</t>
        </r>
      </text>
    </comment>
    <comment ref="F9" authorId="1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FQ1-26: NAND pricing improving</t>
        </r>
      </text>
    </comment>
    <comment ref="G9" authorId="1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FQ2-26: High-70s% QoQ per mgmt earnings call</t>
        </r>
      </text>
    </comment>
    <comment ref="H9" authorId="2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FQ3-26E: +45% QoQ blended NAND ASP.
TRENDFORCE Q2-26 FORECAST:
  NAND total: +70-75% QoQ
  Enterprise SSD: +53-58% QoQ (record in Q1)
NAND acceleration OUTPACING DRAM for first time this cycle.
AI inference KV cache storage driving enterprise SSD demand.
Source: TrendForce, Tom's Hardware</t>
        </r>
      </text>
    </comment>
    <comment ref="M9" authorId="1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FQ4-27E: Slight NAND price softening</t>
        </r>
      </text>
    </comment>
    <comment ref="B10" authorId="1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FQ1-25: $6.4B DRAM / $8.71B total</t>
        </r>
      </text>
    </comment>
    <comment ref="C10" authorId="1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FQ2-25: Micron earnings release</t>
        </r>
      </text>
    </comment>
    <comment ref="D10" authorId="1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FQ3-25: Micron earnings release</t>
        </r>
      </text>
    </comment>
    <comment ref="E10" authorId="1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FQ4-25: ~$9.0B DRAM / $11.3B total</t>
        </r>
      </text>
    </comment>
    <comment ref="F10" authorId="1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FQ1-26: $10.8B / $13.64B per 10-Q</t>
        </r>
      </text>
    </comment>
    <comment ref="G10" authorId="1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FQ2-26: $18.8B / $23.86B per earnings release 3/18/26</t>
        </r>
      </text>
    </comment>
    <comment ref="H10" authorId="1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FQ3-26E: HBM driving DRAM mix higher</t>
        </r>
      </text>
    </comment>
    <comment ref="A11" authorId="4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HBM ASP PREMIUM SOURCES:
SemiAnalysis: HBM ~3x wafer cost per bit vs commodity; rising to 4x with HBM4
Mid-2025 HBM/DDR5 price ratio: ~4x (narrowing from higher)
NVIDIA gets preferential HBM pricing below standard market rates
To incentivize more HBM wafer starts, customers would need to pay HIGHER than current contracted levels</t>
        </r>
      </text>
    </comment>
    <comment ref="B11" authorId="1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Industry estimates: HBM3E at ~5x commodity</t>
        </r>
      </text>
    </comment>
    <comment ref="D11" authorId="1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Rising with HBM3E 12-hi ramp</t>
        </r>
      </text>
    </comment>
    <comment ref="F11" authorId="1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HBM3E fully ramped; tight supply</t>
        </r>
      </text>
    </comment>
    <comment ref="G11" authorId="1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FQ2-26: Peak premium; HBM4 premium</t>
        </r>
      </text>
    </comment>
    <comment ref="H11" authorId="1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FQ3-26E: HBM4 volume at higher ASP</t>
        </r>
      </text>
    </comment>
    <comment ref="I11" authorId="1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FQ4-26E: Gradual compression begins</t>
        </r>
      </text>
    </comment>
    <comment ref="M11" authorId="1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FQ4-27E: Samsung improving HBM yields; premium compresses</t>
        </r>
      </text>
    </comment>
    <comment ref="A12" authorId="3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Estimated from disclosed quarterly HBM metrics and DRAM revenue.</t>
        </r>
      </text>
    </comment>
    <comment ref="B12" authorId="1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FQ1-25: Early HBM3E ramp</t>
        </r>
      </text>
    </comment>
    <comment ref="D12" authorId="1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FQ3-25: HBM +50% QoQ per mgmt</t>
        </r>
      </text>
    </comment>
    <comment ref="E12" authorId="1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FQ4-25: ~$2B HBM / ~$9B DRAM</t>
        </r>
      </text>
    </comment>
    <comment ref="F12" authorId="1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FQ1-26: HBM ramp acceleration</t>
        </r>
      </text>
    </comment>
    <comment ref="G12" authorId="1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FQ2-26: Est. $6B+ HBM / $18.8B DRAM</t>
        </r>
      </text>
    </comment>
    <comment ref="H12" authorId="1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FQ3-26E: HBM4 volume ramp</t>
        </r>
      </text>
    </comment>
    <comment ref="M12" authorId="1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FQ4-27E: HBM approaching 44% of DRAM rev</t>
        </r>
      </text>
    </comment>
    <comment ref="A13" authorId="5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Samsung reference pricing for cross-check:
CQ1-26: +100% QoQ (etnews 4/5/26)
CQ2-26: +30% QoQ (etnews 4/5/26)
Goldman Sachs CQ2 forecast: +58-63% QoQ conventional DRAM
Server DRAM to hyperscalers: +70% QoQ (Samsung/SKH to MSFT/AWS/Google)
Note: Samsung CQ aligns roughly with Micron FQ+1 (CQ1~FQ2, CQ2~FQ3)
Micron FQ2-26 actual +65% QoQ DRAM ASP confirmed within Samsung CQ1 +100% range
No signs of price stabilization per etnews industry sources</t>
        </r>
      </text>
    </comment>
    <comment ref="F13" authorId="3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CQ4-25 = index 1.00 (Samsung Q4 baseline)</t>
        </r>
      </text>
    </comment>
    <comment ref="G13" authorId="3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CQ1-26: +100% QoQ per Samsung pricing. etnews 4/5/26.</t>
        </r>
      </text>
    </comment>
    <comment ref="H13" authorId="3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CQ2-26: +30% QoQ per Samsung. etnews 4/5/26. 10K-&gt;20K-&gt;26K KRW example.</t>
        </r>
      </text>
    </comment>
    <comment ref="I13" authorId="3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CQ3-26E: Key inflection. Big 3 capacity not expanded. AI demand decisive. etnews.</t>
        </r>
      </text>
    </comment>
    <comment ref="A15" authorId="6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GROSS MARGIN CONTEXT:
SemiAnalysis: Once-in-40-year shortage; 'not even close to peak'
Samsung Q3-25 HBM margins: ~60%; commodity DRAM margins: ~40% and rising
SK Hynix CQ4-25 op margin: 58%
Micron FQ2-26 GM: 74.5%; FQ3-26E guidance: 81%
Historical 1993 cycle: GMs exceeded 50% for extended period
DRAM density scaling slowed to ~2x per decade (vs ~100x historically) = structural supply constraint</t>
        </r>
      </text>
    </comment>
    <comment ref="B15" authorId="7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FQ1-25: 39.5% GAAP (non-GAAP ~40.5%)</t>
        </r>
      </text>
    </comment>
    <comment ref="C15" authorId="7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FQ2-25: 36.8% GAAP per SEC (non-GAAP 37.9%)</t>
        </r>
      </text>
    </comment>
    <comment ref="D15" authorId="7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FQ3-25: 37.7% GAAP per SEC (non-GAAP 39.0%)</t>
        </r>
      </text>
    </comment>
    <comment ref="E15" authorId="7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FQ4-25: 44.7% GAAP per SEC (non-GAAP 45.7%)</t>
        </r>
      </text>
    </comment>
    <comment ref="F15" authorId="7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FQ1-26: 56.8% per 10-Q</t>
        </r>
      </text>
    </comment>
    <comment ref="G15" authorId="7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FQ2-26: 75% GAAP per transcript (was ~74.5%)</t>
        </r>
      </text>
    </comment>
    <comment ref="H15" authorId="1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FQ3-26E: ~81% per mgmt guidance 3/18/26</t>
        </r>
      </text>
    </comment>
    <comment ref="I15" authorId="1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FQ4-26E: Slight normalization from peak</t>
        </r>
      </text>
    </comment>
    <comment ref="J15" authorId="1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FQ1-27E: ASP growth decelerating</t>
        </r>
      </text>
    </comment>
    <comment ref="K15" authorId="1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FQ2-27E: Further normalization</t>
        </r>
      </text>
    </comment>
    <comment ref="L15" authorId="1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FQ3-27E: New equilibrium range</t>
        </r>
      </text>
    </comment>
    <comment ref="M15" authorId="1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FQ4-27E: Settling near structural floor</t>
        </r>
      </text>
    </comment>
    <comment ref="A16" authorId="3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Driven by node transition mix. 1-gamma = 15-20% cost improvement.</t>
        </r>
      </text>
    </comment>
    <comment ref="B16" authorId="1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1-beta mature node; modest declines</t>
        </r>
      </text>
    </comment>
    <comment ref="D16" authorId="1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1-gamma qualification samples</t>
        </r>
      </text>
    </comment>
    <comment ref="E16" authorId="1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1-gamma initial yield improvement</t>
        </r>
      </text>
    </comment>
    <comment ref="F16" authorId="1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1-gamma ramp; fastest in MU history per mgmt</t>
        </r>
      </text>
    </comment>
    <comment ref="G16" authorId="1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FQ2-26: 1-gamma approaching majority of mix</t>
        </r>
      </text>
    </comment>
    <comment ref="H16" authorId="1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FQ3-26E: 1-gamma &gt;50% of DRAM bits mid-CY26 per mgmt</t>
        </r>
      </text>
    </comment>
    <comment ref="K16" authorId="1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FQ2-27E: Cost declines moderate post-transition</t>
        </r>
      </text>
    </comment>
    <comment ref="M16" authorId="1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FQ4-27E: 1-delta (EUV) R&amp;D stage; limited cost benefit</t>
        </r>
      </text>
    </comment>
    <comment ref="G17" authorId="1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FQ2-26: Rev scaling faster than headcount</t>
        </r>
      </text>
    </comment>
    <comment ref="G18" authorId="1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FQ2-26: Extreme operating leverage</t>
        </r>
      </text>
    </comment>
    <comment ref="A19" authorId="3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~11.5% blended rate. Offshore fabs + CHIPS Act 25% ITC on qualifying capex.</t>
        </r>
      </text>
    </comment>
    <comment ref="B19" authorId="1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~11.5% effective rate; offshore fab benefit + CHIPS ITC</t>
        </r>
      </text>
    </comment>
    <comment ref="D19" authorId="1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~11.5% effective rate; offshore fab benefit + CHIPS ITC</t>
        </r>
      </text>
    </comment>
    <comment ref="F19" authorId="8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FQ1-26: effective rate per 10-Q</t>
        </r>
      </text>
    </comment>
    <comment ref="G19" authorId="7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FQ2-26: 15.1% effective per transcript</t>
        </r>
      </text>
    </comment>
    <comment ref="H19" authorId="7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Guided 15.1% for FQ3-26 per transcript</t>
        </r>
      </text>
    </comment>
    <comment ref="I19" authorId="7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Guided 15.1% for FQ3-26 per transcript</t>
        </r>
      </text>
    </comment>
    <comment ref="J19" authorId="7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Guided 15.1% for FQ3-26 per transcript</t>
        </r>
      </text>
    </comment>
    <comment ref="K19" authorId="7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Guided 15.1% for FQ3-26 per transcript</t>
        </r>
      </text>
    </comment>
    <comment ref="L19" authorId="7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Guided 15.1% for FQ3-26 per transcript</t>
        </r>
      </text>
    </comment>
    <comment ref="M19" authorId="7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Guided 15.1% for FQ3-26 per transcript</t>
        </r>
      </text>
    </comment>
    <comment ref="B22" authorId="1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FQ1-25: Per cash flow statement</t>
        </r>
      </text>
    </comment>
    <comment ref="F22" authorId="1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FQ1-26: Capex ramp per 10-Q</t>
        </r>
      </text>
    </comment>
    <comment ref="G22" authorId="1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FQ2-26: Per earnings call; FCF = $6.9B implies OCF-capex</t>
        </r>
      </text>
    </comment>
    <comment ref="H22" authorId="1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FQ3-26E: ~$7B guided per mgmt 3/18/26</t>
        </r>
      </text>
    </comment>
    <comment ref="I22" authorId="1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FQ4-26E: Above $25B FY guide implies ramp</t>
        </r>
      </text>
    </comment>
    <comment ref="J22" authorId="1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FQ1-27E: Construction capex +$10B YoY per mgmt</t>
        </r>
      </text>
    </comment>
    <comment ref="M22" authorId="1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FQ4-27E: Peak construction phase Idaho+NY</t>
        </r>
      </text>
    </comment>
    <comment ref="B23" authorId="1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$6.165B total; milestone-based disbursement over ~5 years</t>
        </r>
      </text>
    </comment>
    <comment ref="D23" authorId="1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$6.165B total; milestone-based disbursement over ~5 years</t>
        </r>
      </text>
    </comment>
    <comment ref="F23" authorId="1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$6.165B total; milestone-based disbursement over ~5 years</t>
        </r>
      </text>
    </comment>
    <comment ref="H23" authorId="1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$6.165B total; milestone-based disbursement over ~5 years</t>
        </r>
      </text>
    </comment>
    <comment ref="J23" authorId="1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$6.165B total; milestone-based disbursement over ~5 years</t>
        </r>
      </text>
    </comment>
    <comment ref="L23" authorId="1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$6.165B total; milestone-based disbursement over ~5 years</t>
        </r>
      </text>
    </comment>
    <comment ref="A24" authorId="9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BUYBACK PROGRAM: $10B auth (May 2018, no expiration). $7.84B used thru FQ2-26. ~$2.16B remaining.
CHIPS ACT STRUCTURE:
  Yrs 1-2 (Dec 9, 2024 - Dec 9, 2026): Cap at SBC dilution offset (~$300-350M/qtr)
  Yrs 3-5 (Dec 9, 2026 - Dec 9, 2029): Restrictions ease if conditions met
TIMELINE:
  Dec 2022: Suspended (downturn)
  Aug 7, 2024: Resumed (~$300M in FQ4-24)
  Sep-Nov 2024: $0 (self-suspended for CHIPS finalization)
  Dec 9, 2024: CHIPS award signed; cap imposed
  FQ1-26: $300M (1.3M shares)
  FQ2-26: $350M (1.2M shares)
  Dec 2026+: Expect acceleration; new auth likely needed</t>
        </r>
      </text>
    </comment>
    <comment ref="B24" authorId="3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$0 in FQ1-25. Buybacks suspended Dec 2022; resumed Aug 7, 2024 ($300M in FQ4-24 only). Self-suspended again during CHIPS finalization. $0 repurchased in all of FY2025 per 10-K.</t>
        </r>
      </text>
    </comment>
    <comment ref="D24" authorId="1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FQ3-25: Resumed limited buybacks Aug 2024</t>
        </r>
      </text>
    </comment>
    <comment ref="F24" authorId="3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$300M per 10-Q (1.3M shares). CHIPS cap: dilution offset only (~$300-350M/qtr). Cumulative: $7.49B of $10B authorization.</t>
        </r>
      </text>
    </comment>
    <comment ref="G24" authorId="3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$350M per FQ2-26 earnings release (1.2M shares). H1-FY26 total: $650M. Cumulative: ~$7.84B. Remaining authorization: ~$2.16B.</t>
        </r>
      </text>
    </comment>
    <comment ref="H24" authorId="3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CHIPS Year 1-2 cap (Dec 9, 2024 - Dec 9, 2026): limited to SBC dilution offset. ~$350M/qtr pace = ~1M shares/qtr at ~$350-400/share.</t>
        </r>
      </text>
    </comment>
    <comment ref="I24" authorId="3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Last full quarter under strict CHIPS cap. FQ4-26 ends Aug 2026; CHIPS Year 2 ends Dec 9, 2026. Pace: ~$350M/qtr.</t>
        </r>
      </text>
    </comment>
    <comment ref="J24" authorId="3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CHIPS Years 3-5 (Dec 9, 2026+): restrictions ease if 'certain conditions' met per Commerce Dept. Cantor Fitzgerald expects 'very aggressive' buybacks. New authorization likely needed (~$2.16B remaining). FY2027 FCF est. ~$46B per analyst consensus.</t>
        </r>
      </text>
    </comment>
    <comment ref="K24" authorId="3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Acceleration. Assume new $10-15B authorization announced. At ~$400/share, $2.5B = ~6.3M shares = ~0.6% of float/qtr.</t>
        </r>
      </text>
    </comment>
    <comment ref="L24" authorId="3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Peak buyback pace. $3B/qtr = $12B/yr annualized. Feasible: FY27 FCF ~$46B minus $39B capex minus $0.8B div = ~$6B discretionary.</t>
        </r>
      </text>
    </comment>
    <comment ref="M24" authorId="3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Sustained pace. Total FY2027E buyback: ~$10B. Would reduce diluted shares by ~25M (2.2%) over the year.</t>
        </r>
      </text>
    </comment>
    <comment ref="B25" authorId="1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Pre-increase level</t>
        </r>
      </text>
    </comment>
    <comment ref="G25" authorId="1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FQ2-26: 30% increase announced 3/18/26; $0.15/qtr</t>
        </r>
      </text>
    </comment>
    <comment ref="J25" authorId="1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FQ1-27E: Expect another increase with strong FCF</t>
        </r>
      </text>
    </comment>
    <comment ref="B26" authorId="3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FY2024 avg: ~1.118B</t>
        </r>
      </text>
    </comment>
    <comment ref="D26" authorId="3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FY2025 avg: ~1.125B; no buybacks = SBC creep</t>
        </r>
      </text>
    </comment>
    <comment ref="E26" authorId="3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FQ4-25: ~1.131B per 10-K</t>
        </r>
      </text>
    </comment>
    <comment ref="F26" authorId="3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FQ1-26: ~1.138B per 10-Q</t>
        </r>
      </text>
    </comment>
    <comment ref="G26" authorId="3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FQ2-26: ~1.142B GAAP diluted per 10-Q</t>
        </r>
      </text>
    </comment>
    <comment ref="H26" authorId="3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FQ3-26E: ~1.145B; buybacks barely offset SBC</t>
        </r>
      </text>
    </comment>
    <comment ref="I26" authorId="3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FQ4-26E: ~1.148B; still under CHIPS cap</t>
        </r>
      </text>
    </comment>
    <comment ref="J26" authorId="3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FQ1-27E: Buyback acceleration begins Dec 2026; net reduction starts</t>
        </r>
      </text>
    </comment>
    <comment ref="K26" authorId="3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FQ2-27E: ~$2.5B buyback = ~6M shares retired</t>
        </r>
      </text>
    </comment>
    <comment ref="L26" authorId="3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FQ3-27E: Continued reduction</t>
        </r>
      </text>
    </comment>
    <comment ref="M26" authorId="3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FQ4-27E: ~37M shares net reduction in FY2027 (~3.2%)</t>
        </r>
      </text>
    </comment>
    <comment ref="B29" authorId="1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MU closing price ~$366 early April 2026 (post-sell-off from ~$490)</t>
        </r>
      </text>
    </comment>
    <comment ref="B30" authorId="1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Supply constraints persist through CY2027; HBM TAM &gt;$100B</t>
        </r>
      </text>
    </comment>
    <comment ref="B31" authorId="1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Orderly normalization; margins settle 55-65%; HBM grows at plan</t>
        </r>
      </text>
    </comment>
    <comment ref="B32" authorId="1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Hyperscaler capex plateau; pricing normalizes faster; margin to 45%</t>
        </r>
      </text>
    </comment>
    <comment ref="B33" authorId="1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AI winter + macro recession; margins collapse to 30%</t>
        </r>
      </text>
    </comment>
    <comment ref="B36" authorId="3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Bull: Re-rating to semicap range; Cantor $700 implies ~14-16x</t>
        </r>
      </text>
    </comment>
    <comment ref="B37" authorId="3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Base: Premium to historical 8-10x for revenue quality; ~avg of street PTs / consensus EPS</t>
        </r>
      </text>
    </comment>
    <comment ref="B38" authorId="3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Bear: Historical mid-cycle multiple for commodity memory</t>
        </r>
      </text>
    </comment>
    <comment ref="B39" authorId="3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Hard landing: Trough multiple</t>
        </r>
      </text>
    </comment>
    <comment ref="B42" authorId="3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Bull: Supply tight through CY27; 70%+ GM sustained; $118B+ rev at high margin</t>
        </r>
      </text>
    </comment>
    <comment ref="B43" authorId="3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Base: Consensus FY27E EPS $48.07 per StockAnalysis; orderly normalization</t>
        </r>
      </text>
    </comment>
    <comment ref="B44" authorId="3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Bear: BofA bear trajectory ~$29 FY28 implies FY27 could be ~$30 if early</t>
        </r>
      </text>
    </comment>
    <comment ref="B45" authorId="3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Hard landing: Deep correction; GM to 30%</t>
        </r>
      </text>
    </comment>
    <comment ref="B47" authorId="1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= Sum of (Probability x EPS x P/E) for each scenario</t>
        </r>
      </text>
    </comment>
    <comment ref="B50" authorId="3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TARIFF IMPACT (April 2, 2026):
- Bare semiconductor dies (HTS 8542): EXEMPT
- Memory modules/DIMMs: 10% (surcharge pass-through)
- SSDs: 10% (surcharge pass-through)
- LPDDR packages: 10%
- Servers/electronics: EXEMPT (Apr 11)
- CHIPS Act domestic: N/A (US-made)
Net margin impact: ~-50bps</t>
        </r>
      </text>
    </comment>
    <comment ref="B51" authorId="1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CIRCULAR REFERENCES: None remaining in model.
WACC formula is non-circular (=B8*B13+B11*B12).
Interest expense hardcoded (immaterial vs $30B+ rev).
If re-introducing circularity: File &gt; Options &gt; Formulas &gt; Enable iterative calc.</t>
        </r>
      </text>
    </comment>
    <comment ref="B52" authorId="11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DRAM BIT SHIPMENTS QoQ:
FQ1-25: Not disclosed
FQ2-25: Not disclosed
FQ3-25: +20%+ QoQ
FQ4-25: Up low-teens %
FQ1-26: Up slightly
FQ2-26: Up mid-single-digit %
DRAM ASP QoQ:
FQ3-25: Down low-single-digit %
FQ4-25: Up low-double-digit %
FQ1-26: Up ~20%
FQ2-26: Up mid-sixties % (~65-67%)
NAND BIT SHIPMENTS QoQ:
FQ3-25: Up mid-20s %
FQ4-25: Down mid-single-digit %
FQ1-26: Mid-to-high single-digit % increase
FQ2-26: Low-single-digit % growth
NAND ASP QoQ:
FQ3-25: Down high-single-digit %
FQ4-25: Up high-single-digit %
FQ1-26: Up mid-teens %
FQ2-26: Up high-seventies % (~75-79%)
KEY: FQ3-25/FQ4-25 were volume-led growth. FQ1-26/FQ2-26 shifted to ASP-led.
The cycle inflected from volume to pricing in FQ1-26.</t>
        </r>
      </text>
    </comment>
    <comment ref="B55" authorId="3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FQ1-25 per 10-Q</t>
        </r>
      </text>
    </comment>
    <comment ref="C55" authorId="3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FQ2-25 per 10-Q</t>
        </r>
      </text>
    </comment>
    <comment ref="D55" authorId="3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FQ3-25 per SEC</t>
        </r>
      </text>
    </comment>
    <comment ref="E55" authorId="3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FQ4-25 per SEC</t>
        </r>
      </text>
    </comment>
    <comment ref="F55" authorId="3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FQ1-26 per 10-Q</t>
        </r>
      </text>
    </comment>
    <comment ref="G55" authorId="3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FQ2-26 per release</t>
        </r>
      </text>
    </comment>
    <comment ref="H55" authorId="3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FQ3-26E: $33.5B guided</t>
        </r>
      </text>
    </comment>
    <comment ref="I55" authorId="3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FQ4-26E: near-peak estimate</t>
        </r>
      </text>
    </comment>
    <comment ref="J55" authorId="3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FQ1-27E: normalization</t>
        </r>
      </text>
    </comment>
    <comment ref="K55" authorId="3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FQ2-27E: stabilizing</t>
        </r>
      </text>
    </comment>
    <comment ref="L55" authorId="3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FQ3-27E: new supply entering</t>
        </r>
      </text>
    </comment>
    <comment ref="M55" authorId="3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FQ4-27E: new equilibrium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Transcript</author>
    <author>Model</author>
    <author>Source</author>
    <author>Fix</author>
    <author>FQ2-26 Q&amp;A, Cantor Fitzgerald question</author>
  </authors>
  <commentList>
    <comment ref="B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FQ1-25: $8.71B per 10-Q</t>
        </r>
      </text>
    </comment>
    <comment ref="C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FQ2-25: $8.053B per 10-Q (was rounded to $8.05B)</t>
        </r>
      </text>
    </comment>
    <comment ref="D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FQ3-25: $9.301B per SEC press release</t>
        </r>
      </text>
    </comment>
    <comment ref="E8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FQ4-25: $11.315B per SEC press release</t>
        </r>
      </text>
    </comment>
    <comment ref="F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FQ1-26: $13.64B per 10-Q</t>
        </r>
      </text>
    </comment>
    <comment ref="G8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FQ2-26: $23.86B per earnings release 3/18/26</t>
        </r>
      </text>
    </comment>
    <comment ref="H8" authorId="1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FY2025 = FQ1+FQ2+FQ3+FQ4</t>
        </r>
      </text>
    </comment>
    <comment ref="I8" authorId="1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FY2026 H1 = FQ1-26 + FQ2-26</t>
        </r>
      </text>
    </comment>
    <comment ref="B1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FQ1-25: ~73% of rev</t>
        </r>
      </text>
    </comment>
    <comment ref="C10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FQ2-25: 76% of $8.053B</t>
        </r>
      </text>
    </comment>
    <comment ref="D10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FQ3-25: $7.1B per transcript</t>
        </r>
      </text>
    </comment>
    <comment ref="E10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FQ4-25: $9.0B per transcript (record; 79%)</t>
        </r>
      </text>
    </comment>
    <comment ref="F10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FQ1-26: $10.8B per 10-Q</t>
        </r>
      </text>
    </comment>
    <comment ref="G10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FQ2-26: $18.8B per release</t>
        </r>
      </text>
    </comment>
    <comment ref="B11" authorId="2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FQ1-25: ~26% of rev</t>
        </r>
      </text>
    </comment>
    <comment ref="C11" authorId="2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FQ2-25: remainder after DRAM + other</t>
        </r>
      </text>
    </comment>
    <comment ref="D1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FQ3-25: $2.2B per transcript</t>
        </r>
      </text>
    </comment>
    <comment ref="E1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FQ4-25: $2.3B per transcript</t>
        </r>
      </text>
    </comment>
    <comment ref="F1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FQ1-26: ~20% of $13.64B</t>
        </r>
      </text>
    </comment>
    <comment ref="G1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FQ2-26: $5.0B per release</t>
        </r>
      </text>
    </comment>
    <comment ref="B16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FQ1-25: Rev*(1-GM)</t>
        </r>
      </text>
    </comment>
    <comment ref="C16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FQ2-25: $5,090M per SEC filing</t>
        </r>
      </text>
    </comment>
    <comment ref="D16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FQ3-25: $5,793M per SEC filing (GAAP)</t>
        </r>
      </text>
    </comment>
    <comment ref="E16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FQ4-25: $6,261M per SEC filing (GAAP)</t>
        </r>
      </text>
    </comment>
    <comment ref="F1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FQ1-26: Rev*(1-0.568)</t>
        </r>
      </text>
    </comment>
    <comment ref="G1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FQ2-26: Rev*(1-0.75)=$5,965M GAAP</t>
        </r>
      </text>
    </comment>
    <comment ref="B2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FQ1-25: Per 10-Q</t>
        </r>
      </text>
    </comment>
    <comment ref="C2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FQ2-25: $898M per SEC filing</t>
        </r>
      </text>
    </comment>
    <comment ref="D2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FQ3-25: $965M per SEC filing</t>
        </r>
      </text>
    </comment>
    <comment ref="E2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FQ4-25: $1,047M per SEC filing</t>
        </r>
      </text>
    </comment>
    <comment ref="F20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FQ1-26: Per 10-Q</t>
        </r>
      </text>
    </comment>
    <comment ref="G20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FQ2-26: Est. from total OpEx $1.4B</t>
        </r>
      </text>
    </comment>
    <comment ref="C21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FQ2-25: $285M per SEC filing</t>
        </r>
      </text>
    </comment>
    <comment ref="D21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FQ3-25: $318M per SEC filing</t>
        </r>
      </text>
    </comment>
    <comment ref="E21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FQ4-25: $314M per SEC filing</t>
        </r>
      </text>
    </comment>
    <comment ref="G21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FQ2-26: Est.</t>
        </r>
      </text>
    </comment>
    <comment ref="B2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FQ1-25: Int inc $108M - Int exp $112M = net -$4M; using net</t>
        </r>
      </text>
    </comment>
    <comment ref="C2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FQ2-25: Net int income/(exp)</t>
        </r>
      </text>
    </comment>
    <comment ref="D2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FQ3-25: Int inc $135M - Int exp $123M = +$12M net</t>
        </r>
      </text>
    </comment>
    <comment ref="E2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FQ4-25: Int inc $146M - Int exp $124M = +$22M net</t>
        </r>
      </text>
    </comment>
    <comment ref="F2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FQ1-26: Higher cash balance driving net interest income</t>
        </r>
      </text>
    </comment>
    <comment ref="G2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FQ2-26: $16.7B cash; net interest income ~$80M/qtr</t>
        </r>
      </text>
    </comment>
    <comment ref="B28" authorId="3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FQ1-25: Other non-operating per SEC</t>
        </r>
      </text>
    </comment>
    <comment ref="C28" authorId="3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FQ2-25: per SEC</t>
        </r>
      </text>
    </comment>
    <comment ref="D28" authorId="3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FQ3-25: -$68M per SEC filing</t>
        </r>
      </text>
    </comment>
    <comment ref="E28" authorId="3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FQ4-25: -$45M per SEC filing</t>
        </r>
      </text>
    </comment>
    <comment ref="F28" authorId="3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FQ1-26: Est.</t>
        </r>
      </text>
    </comment>
    <comment ref="G28" authorId="3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FQ2-26: Est.</t>
        </r>
      </text>
    </comment>
    <comment ref="B35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FQ1-25: Per earnings release</t>
        </r>
      </text>
    </comment>
    <comment ref="C35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FQ2-25: Per earnings release</t>
        </r>
      </text>
    </comment>
    <comment ref="D35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FQ3-25: $1.91 per SEC filing, non-GAAP diluted</t>
        </r>
      </text>
    </comment>
    <comment ref="E35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FQ4-25: $3.03 per SEC filing (+59% QoQ, +157% YoY)</t>
        </r>
      </text>
    </comment>
    <comment ref="F35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FQ1-26: Per earnings release</t>
        </r>
      </text>
    </comment>
    <comment ref="G3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FQ2-26: $12.20 per release (+155% QoQ, +682% YoY)</t>
        </r>
      </text>
    </comment>
    <comment ref="B38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FQ1-25: ~12% of DRAM rev (est.)</t>
        </r>
      </text>
    </comment>
    <comment ref="C38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FQ2-25: ~15% of DRAM (est.)</t>
        </r>
      </text>
    </comment>
    <comment ref="D38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FQ3-25: HBM +50% QoQ per mgmt; run-rate &gt;$6B annualized implies ~$1.5B/qtr</t>
        </r>
      </text>
    </comment>
    <comment ref="E38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FQ4-25: ~$2B per mgmt disclosure; ~$8B annualized run-rate</t>
        </r>
      </text>
    </comment>
    <comment ref="F38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FQ1-26: Record; exact amt not disclosed; est. ~28% of DRAM</t>
        </r>
      </text>
    </comment>
    <comment ref="G38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FQ2-26: Est. ~32% of $18.8B DRAM; mgmt won't break out going forward</t>
        </r>
      </text>
    </comment>
    <comment ref="B40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FQ1-25: ~$7.8B FY24 / 4</t>
        </r>
      </text>
    </comment>
    <comment ref="D40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FQ3-25: ~$8.35B FY25 D&amp;A / 4</t>
        </r>
      </text>
    </comment>
    <comment ref="E40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FQ4-25: Rising with capex ramp; FY25 D&amp;A = $8,352M per 10-K</t>
        </r>
      </text>
    </comment>
    <comment ref="F40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FQ1-26: Accelerating</t>
        </r>
      </text>
    </comment>
    <comment ref="G40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FQ2-26: ~$10.5B annualized</t>
        </r>
      </text>
    </comment>
    <comment ref="E4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FQ4-25: CMBU $4.543B per transcript (40% of co.)</t>
        </r>
      </text>
    </comment>
    <comment ref="F4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FQ1-26: CMBU $5.3B per transcript (39%)</t>
        </r>
      </text>
    </comment>
    <comment ref="G44" authorId="2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FQ2-26: $7.749B per earnings slides; 32% of rev</t>
        </r>
      </text>
    </comment>
    <comment ref="E45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FQ4-25: MCBU $3.760B per transcript (33%)</t>
        </r>
      </text>
    </comment>
    <comment ref="F45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FQ1-26: MCBU $4.3B per transcript (31%)</t>
        </r>
      </text>
    </comment>
    <comment ref="G45" authorId="2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FQ2-26: $7.711B per earnings slides; 32% of rev</t>
        </r>
      </text>
    </comment>
    <comment ref="E46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FQ4-25: CDBU $1.577B per transcript (14%)</t>
        </r>
      </text>
    </comment>
    <comment ref="F46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FQ1-26: CDBU $2.4B per transcript (17%)</t>
        </r>
      </text>
    </comment>
    <comment ref="G46" authorId="2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FQ2-26: $5.687B per earnings slides; 24% of rev</t>
        </r>
      </text>
    </comment>
    <comment ref="E47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FQ4-25: AEBU $1.434B per transcript (13%)</t>
        </r>
      </text>
    </comment>
    <comment ref="F47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FQ1-26: AEBU $1.7B per transcript (13%)</t>
        </r>
      </text>
    </comment>
    <comment ref="G47" authorId="2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FQ2-26: $2.708B per earnings slides; 11% of rev</t>
        </r>
      </text>
    </comment>
    <comment ref="E51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FQ4-25: per transcript</t>
        </r>
      </text>
    </comment>
    <comment ref="F51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FQ1-26: per transcript</t>
        </r>
      </text>
    </comment>
    <comment ref="G51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FQ2-26: per transcript</t>
        </r>
      </text>
    </comment>
    <comment ref="E52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FQ4-25: per transcript</t>
        </r>
      </text>
    </comment>
    <comment ref="F52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FQ1-26: per transcript</t>
        </r>
      </text>
    </comment>
    <comment ref="G52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FQ2-26: per transcript</t>
        </r>
      </text>
    </comment>
    <comment ref="E53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FQ4-25: per transcript</t>
        </r>
      </text>
    </comment>
    <comment ref="F53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FQ1-26: per transcript</t>
        </r>
      </text>
    </comment>
    <comment ref="G53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FQ2-26: per transcript</t>
        </r>
      </text>
    </comment>
    <comment ref="E54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FQ4-25: per transcript</t>
        </r>
      </text>
    </comment>
    <comment ref="F54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FQ1-26: per transcript</t>
        </r>
      </text>
    </comment>
    <comment ref="G54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FQ2-26: per transcript</t>
        </r>
      </text>
    </comment>
    <comment ref="A55" authorId="4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CFO Murphy confirmed at FQ2-26 call: non-HBM margins currently EXCEED HBM margins. This means HBM4 ramp could be a modest gross margin headwind even as HBM revenue grows. Counter-intuitive but explained by: HBM has higher absolute $, but commodity DRAM ASPs have exploded due to supply shortage, compressing the HBM premium ratio.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FQ2-26 earnings call 3/18/26</author>
    <author>Fix</author>
    <author>Model</author>
    <author>Simplification</author>
    <author>Source</author>
  </authors>
  <commentList>
    <comment ref="B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FQ3-26E GUIDANCE (precise from transcript):
Revenue: $33,500M +/- $750M
Gross Margin: ~81% (GAAP)
OpEx: ~$1.4B
EPS: $19.15 +/- $0.40
Shares: ~1.15B
Tax: ~15.1%
CapEx: ~$7.0B
FCF: 'roughly double' FQ2 ($6.9B) = ~$13-14B
OCF: 'significantly higher' QoQ
Implied operating income: $33.5B*81% - $1.4B = ~$25.7B
Implied operating margin: ~77%
Note: FQ3 ALONE exceeds entire FY2024 revenue ($25.1B).</t>
        </r>
      </text>
    </comment>
    <comment ref="C8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FQ4-26E: Near-peak; supply still constrained per mgmt</t>
        </r>
      </text>
    </comment>
    <comment ref="D8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FQ1-27E: Down from FQ4-26 peak; seasonal normalization</t>
        </r>
      </text>
    </comment>
    <comment ref="E8" authorId="1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FQ2-27E: Stabilizing; HBM4E ramp</t>
        </r>
      </text>
    </comment>
    <comment ref="F8" authorId="1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FQ3-27E: Further normalization as new supply enters</t>
        </r>
      </text>
    </comment>
    <comment ref="G8" authorId="1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FQ4-27E: Approaching new cycle equilibrium</t>
        </r>
      </text>
    </comment>
    <comment ref="H8" authorId="2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FY2026E = FQ1-26 actual + FQ2-26 actual + FQ3-26E + FQ4-26E</t>
        </r>
      </text>
    </comment>
    <comment ref="A26" authorId="2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CIRCUIT BREAKER: Uses iterative interest calc when toggle=1, fallback when toggle=0.
Chain 1: Interest → NI → CF → Cash → Interest income on cash</t>
        </r>
      </text>
    </comment>
    <comment ref="B26" authorId="3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Interest expense ~$10M/qtr. Declining with debt paydown; approaching net interest income. Simplified to hardcode — immaterial vs $30B+ revenue quarters.</t>
        </r>
      </text>
    </comment>
    <comment ref="D26" authorId="4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Declining with debt paydown; approaching net interest income</t>
        </r>
      </text>
    </comment>
    <comment ref="F26" authorId="4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Declining with debt paydown; approaching net interest income</t>
        </r>
      </text>
    </comment>
    <comment ref="B33" authorId="2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Guided $19.15. Formula-derived EPS = Assumptions!H68. Use guided value for near-term accuracy.</t>
        </r>
      </text>
    </comment>
    <comment ref="C33" authorId="2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Non-GAAP EPS ≈ GAAP NI / diluted shares * ~1.02 SBC adjustment factor</t>
        </r>
      </text>
    </comment>
    <comment ref="E33" authorId="2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Non-GAAP EPS ≈ GAAP NI / diluted shares * ~1.02 SBC adjustment factor</t>
        </r>
      </text>
    </comment>
    <comment ref="G33" authorId="2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Non-GAAP EPS ≈ GAAP NI / diluted shares * ~1.02 SBC adjustment factor</t>
        </r>
      </text>
    </comment>
    <comment ref="H33" authorId="2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FY2026E EPS = FQ1-26 actual + FQ2-26 actual + FQ3-26E + FQ4-26E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Transcript</author>
    <author>Source</author>
    <author>FQ2-26 transcript</author>
    <author>10-K filing</author>
  </authors>
  <commentList>
    <comment ref="B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FQ2-25: $7,552M per SEC filing</t>
        </r>
      </text>
    </comment>
    <comment ref="C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FQ4-25: $9,642M per SEC 10-K</t>
        </r>
      </text>
    </comment>
    <comment ref="D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FQ1-26: ~$12B (cash + ST inv)</t>
        </r>
      </text>
    </comment>
    <comment ref="E7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FQ2-26: $9,642M per balance sheet</t>
        </r>
      </text>
    </comment>
    <comment ref="B8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FQ2-25: $663M per SEC</t>
        </r>
      </text>
    </comment>
    <comment ref="C8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FQ4-25: $665M per SEC 10-K</t>
        </r>
      </text>
    </comment>
    <comment ref="D8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FQ1-26: Est.</t>
        </r>
      </text>
    </comment>
    <comment ref="E8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FQ2-26: Total $16.7B minus cash</t>
        </r>
      </text>
    </comment>
    <comment ref="B10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FQ2-25: $9,007M per SEC filing</t>
        </r>
      </text>
    </comment>
    <comment ref="C10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FQ4-25: $8,355M per SEC 10-K (124 days)</t>
        </r>
      </text>
    </comment>
    <comment ref="D10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FQ1-26: ~$8.2B (126 days per transcript)</t>
        </r>
      </text>
    </comment>
    <comment ref="E10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FQ2-26: ~$8B (123 days per FQ2 transcript)</t>
        </r>
      </text>
    </comment>
    <comment ref="G10" authorId="1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FQ4-26E: Slight build with new capacity</t>
        </r>
      </text>
    </comment>
    <comment ref="B1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FQ2-25: $42,528M per SEC</t>
        </r>
      </text>
    </comment>
    <comment ref="C1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FQ4-25: $46,590M per SEC 10-K</t>
        </r>
      </text>
    </comment>
    <comment ref="D1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FQ1-26: Est.</t>
        </r>
      </text>
    </comment>
    <comment ref="E1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FQ2-26: Est. (~$5B capex + existing)</t>
        </r>
      </text>
    </comment>
    <comment ref="G11" authorId="1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FQ4-26E: +$25B gross capex - D&amp;A</t>
        </r>
      </text>
    </comment>
    <comment ref="B12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FQ2-25: $73,053M per SEC</t>
        </r>
      </text>
    </comment>
    <comment ref="C12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FQ4-25: $82,798M per SEC 10-K</t>
        </r>
      </text>
    </comment>
    <comment ref="D12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FQ1-26: Est.</t>
        </r>
      </text>
    </comment>
    <comment ref="E12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FQ2-26: $82,798M per balance sheet</t>
        </r>
      </text>
    </comment>
    <comment ref="B15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FQ2-25: $14,355M per SEC (current + LT)</t>
        </r>
      </text>
    </comment>
    <comment ref="C15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FQ4-25: $14,577M per SEC 10-K</t>
        </r>
      </text>
    </comment>
    <comment ref="D15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FQ1-26: $11.8B per transcript (-$2.7B QoQ)</t>
        </r>
      </text>
    </comment>
    <comment ref="E15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FQ2-26: $10.1B per release (-$1.6B QoQ)</t>
        </r>
      </text>
    </comment>
    <comment ref="F15" authorId="1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FQ3-26E: Continued paydown</t>
        </r>
      </text>
    </comment>
    <comment ref="B16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FQ2-25: $48,633M per SEC</t>
        </r>
      </text>
    </comment>
    <comment ref="C16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FQ4-25: $54,165M per SEC 10-K</t>
        </r>
      </text>
    </comment>
    <comment ref="D16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FQ1-26: Est.</t>
        </r>
      </text>
    </comment>
    <comment ref="E16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FQ2-26: $54,165M per balance sheet</t>
        </r>
      </text>
    </comment>
    <comment ref="B23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FQ1-26: $8,410M per cash flow statement</t>
        </r>
      </text>
    </comment>
    <comment ref="C23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FQ2-26: $11,900M per release (record)</t>
        </r>
      </text>
    </comment>
    <comment ref="D23" authorId="2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FQ3-26E: OCF 'significantly higher' QoQ from $11.9B. FCF 'roughly double' from $6.9B = ~$13-14B. Implies OCF ~$20-21B, capex ~$7B.</t>
        </r>
      </text>
    </comment>
    <comment ref="B24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FQ1-26: ~$4.5B per transcript</t>
        </r>
      </text>
    </comment>
    <comment ref="C24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FQ2-26: ~$5.0B (FCF = $6.9B implies OCF-capex)</t>
        </r>
      </text>
    </comment>
    <comment ref="D24" authorId="1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FQ3-26E: ~$7B guided per mgmt</t>
        </r>
      </text>
    </comment>
    <comment ref="E24" authorId="1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FQ4-26E: Ramp to achieve &gt;$25B FY target</t>
        </r>
      </text>
    </comment>
    <comment ref="B26" authorId="1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FQ1-26: $3.9B/$13.64B</t>
        </r>
      </text>
    </comment>
    <comment ref="C26" authorId="1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FQ2-26: $6.9B/$23.86B (record)</t>
        </r>
      </text>
    </comment>
    <comment ref="D26" authorId="1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FQ3-26E: Further expansion per mgmt</t>
        </r>
      </text>
    </comment>
    <comment ref="B29" authorId="1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FQ1-26: Per cash flow statement</t>
        </r>
      </text>
    </comment>
    <comment ref="C29" authorId="1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FQ2-26: $350M per earnings release; CHIPS limits</t>
        </r>
      </text>
    </comment>
    <comment ref="B30" authorId="1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$0.115 x ~1.14B shares</t>
        </r>
      </text>
    </comment>
    <comment ref="C30" authorId="1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FQ2-26: $0.15 x ~1.14B shares (30% increase)</t>
        </r>
      </text>
    </comment>
    <comment ref="B31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FQ1-26: $1.0B term loans + $1.7B senior notes = $2.7B per transcript</t>
        </r>
      </text>
    </comment>
    <comment ref="C31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FQ2-26: $1.6B (redeemed 2029/2030 notes per release)</t>
        </r>
      </text>
    </comment>
    <comment ref="A35" authorId="3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FY2025 CASH FLOW (from 10-K):
OCF: $17,525M
Gross CapEx: $15,857M
Gov't Incentives: $2,005M
Net CapEx: $13,804M
Adj FCF: $3,721M
D&amp;A: $8,352M
SBC: $972M
Debt Proceeds: $4,430M
Debt Repayments: $4,619M
Dividends: $522M
Buybacks: $0
FY2025 was 52 weeks; FY2026 is 53 weeks.</t>
        </r>
      </text>
    </comment>
    <comment ref="B35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Above $25B per mgmt FQ2-26 (raised from $20B FQ1-26 guide). FY2027 construction capex to increase &gt;$10B YoY per transcript.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  <author>Src</author>
    <author>Goldman Sachs</author>
  </authors>
  <commentList>
    <comment ref="C2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1-gamma &gt;50% by mid-CY2026 per mgmt; fastest ramp in company history</t>
        </r>
      </text>
    </comment>
    <comment ref="B4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CY2024: ~8% supply growth (constrained)</t>
        </r>
      </text>
    </comment>
    <comment ref="C4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CY2025: ~12% with HBM cannibalizing commodity</t>
        </r>
      </text>
    </comment>
    <comment ref="D42" authorId="1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CY2026: 14% supply growth. Goldman: 4.9% undersupply (worst in 15+ yrs). HBM trade ratio limits commodity supply. ainvest/Goldman 4/26.</t>
        </r>
      </text>
    </comment>
    <comment ref="E42" authorId="1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CY2027: Capacity expansion not meaningful until late 2027-2028 per Goldman. 2.5% undersupply still projected for CY2027.</t>
        </r>
      </text>
    </comment>
    <comment ref="B4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CY2024: AI-driven demand surge</t>
        </r>
      </text>
    </comment>
    <comment ref="C4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CY2025: HBM demand + data center content growth</t>
        </r>
      </text>
    </comment>
    <comment ref="D43" authorId="1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CY2026: Server memory &gt;50% of total DRAM demand for first time per Goldman/mgmt. Hyperscaler AI infra buildout accelerating. SK Hynix 8x DRAM production still insufficient.</t>
        </r>
      </text>
    </comment>
    <comment ref="E43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CY2027E: Base effect moderates growth</t>
        </r>
      </text>
    </comment>
    <comment ref="A44" authorId="2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Negative spread = demand &gt; supply = prices rise. Goldman Sachs: CY2026 = 4.9% undersupply, worst in 15+ years. CY2027 = 2.5% undersupply. Meaningful capacity expansion not until late 2027-2028. Source: ainvest/Goldman Sachs April 2026.</t>
        </r>
      </text>
    </comment>
    <comment ref="A48" authorId="1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Micron CBO Sadana, 12/4/25. etnews.</t>
        </r>
      </text>
    </comment>
    <comment ref="A49" authorId="1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etnews 3/30/26. Preemptive vs Samsung/SKH.</t>
        </r>
      </text>
    </comment>
    <comment ref="A50" authorId="1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FQ2-26 earnings 3/18/26.</t>
        </r>
      </text>
    </comment>
    <comment ref="A51" authorId="1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FQ2-26 earnings call.</t>
        </r>
      </text>
    </comment>
    <comment ref="A52" authorId="1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PM Modi inauguration 2/26. etnews.</t>
        </r>
      </text>
    </comment>
    <comment ref="B56" authorId="1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SemiAnalysis 'Memory Mania'</t>
        </r>
      </text>
    </comment>
    <comment ref="B57" authorId="1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SemiAnalysis via Tom's Hardware 4/3/26</t>
        </r>
      </text>
    </comment>
    <comment ref="B58" authorId="1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SemiAnalysis estimate</t>
        </r>
      </text>
    </comment>
    <comment ref="B59" authorId="1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SemiAnalysis 'Memory Mania'</t>
        </r>
      </text>
    </comment>
    <comment ref="B60" authorId="1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SemiAnalysis roadmap</t>
        </r>
      </text>
    </comment>
    <comment ref="B61" authorId="1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SemiAnalysis via Tom's Hardware</t>
        </r>
      </text>
    </comment>
    <comment ref="B62" authorId="1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TrendForce</t>
        </r>
      </text>
    </comment>
    <comment ref="B63" authorId="1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Industry data / SoftwareSeni</t>
        </r>
      </text>
    </comment>
    <comment ref="B64" authorId="1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Medium/market data Q4-25</t>
        </r>
      </text>
    </comment>
    <comment ref="B65" authorId="1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Multiple sources; SemiAnalysis</t>
        </r>
      </text>
    </comment>
    <comment ref="B66" authorId="1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SK Hynix earnings call; SemiAnalysis</t>
        </r>
      </text>
    </comment>
    <comment ref="B67" authorId="1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Micron FQ2-26 earnings; SemiAnalysis</t>
        </r>
      </text>
    </comment>
    <comment ref="B71" authorId="1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Counterpoint Research Q2-2025</t>
        </r>
      </text>
    </comment>
    <comment ref="D71" authorId="1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SoftwareSeni compilation from earnings calls + industry sources. Hyperscaler procurement behavior: Google fired exec for failing to sign LTAs; MS stormed out of SKH meetings over terms; dedicated procurement staff stationed in Korea.</t>
        </r>
      </text>
    </comment>
    <comment ref="B72" authorId="1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Counterpoint Research Q2-2025</t>
        </r>
      </text>
    </comment>
    <comment ref="D72" authorId="1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SoftwareSeni compilation from earnings calls + industry sources. Hyperscaler procurement behavior: Google fired exec for failing to sign LTAs; MS stormed out of SKH meetings over terms; dedicated procurement staff stationed in Korea.</t>
        </r>
      </text>
    </comment>
    <comment ref="B73" authorId="1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Counterpoint Research Q2-2025</t>
        </r>
      </text>
    </comment>
    <comment ref="D73" authorId="1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SoftwareSeni compilation from earnings calls + industry sources. Hyperscaler procurement behavior: Google fired exec for failing to sign LTAs; MS stormed out of SKH meetings over terms; dedicated procurement staff stationed in Korea.</t>
        </r>
      </text>
    </comment>
    <comment ref="B86" authorId="1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CY2025 memory market</t>
        </r>
      </text>
    </comment>
    <comment ref="C86" authorId="1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TrendForce: $551.6B</t>
        </r>
      </text>
    </comment>
    <comment ref="D86" authorId="1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TrendForce: $842.7B (+53% YoY)</t>
        </r>
      </text>
    </comment>
    <comment ref="B88" authorId="1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$37.4B / $330B</t>
        </r>
      </text>
    </comment>
    <comment ref="C88" authorId="1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~$106B / $552B (rising with HBM share)</t>
        </r>
      </text>
    </comment>
    <comment ref="D88" authorId="1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~$133B / $843B</t>
        </r>
      </text>
    </comment>
    <comment ref="C89" authorId="1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HBM consuming 20% of wafer capacity per TrendForce</t>
        </r>
      </text>
    </comment>
    <comment ref="D89" authorId="1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Growing toward $100B TAM by CY2028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  <author>Model</author>
    <author>Insight</author>
    <author>Src</author>
  </authors>
  <commentList>
    <comment ref="B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Total across Boise + Hiroshima + Taiwan fabs; excludes HBM-allocated wafers</t>
        </r>
      </text>
    </comment>
    <comment ref="F8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1-gamma ramp drives bits/wafer improvement; 1-gamma = ~130 vs 1-beta = 100</t>
        </r>
      </text>
    </comment>
    <comment ref="H8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1-gamma ramp drives bits/wafer improvement; 1-gamma = ~130 vs 1-beta = 100</t>
        </r>
      </text>
    </comment>
    <comment ref="J8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1-gamma ramp drives bits/wafer improvement; 1-gamma = ~130 vs 1-beta = 100</t>
        </r>
      </text>
    </comment>
    <comment ref="B10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Each HBM wafer reduces commodity DRAM output by trade ratio (3-5x)</t>
        </r>
      </text>
    </comment>
    <comment ref="B1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HBM3E 8-hi ~3x; HBM3E 12-hi ~4.5x; HBM4 12-hi ~4.8x</t>
        </r>
      </text>
    </comment>
    <comment ref="B16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Indexed to FQ1-25 = 1.00; reflects blended commodity + HBM ASP</t>
        </r>
      </text>
    </comment>
    <comment ref="B18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Cost/bit declining with 1-gamma node ramp; each node = 15-20% cost improvement</t>
        </r>
      </text>
    </comment>
    <comment ref="A19" authorId="1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ASP/Cost spread is THE key variable for gross margins. &gt;2.0x = strong margins; &lt;1.0x = losses. The current spread is unprecedented due to simultaneous ASP explosion + cost decline.</t>
        </r>
      </text>
    </comment>
    <comment ref="A24" authorId="1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This decomposes QoQ revenue growth into volume vs price effects. The FQ2-26 supercycle is almost entirely price-driven (~65% QoQ ASP increase with mid-single-digit volume).</t>
        </r>
      </text>
    </comment>
    <comment ref="G30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232L→276L→300L transition</t>
        </r>
      </text>
    </comment>
    <comment ref="G32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NAND supply shortage driving pricing; high-70s% QoQ in FQ2-26</t>
        </r>
      </text>
    </comment>
    <comment ref="D37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Constrained by HBM cannibalization of commodity wafers</t>
        </r>
      </text>
    </comment>
    <comment ref="E37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New capacity arriving: Idaho, Samsung P4</t>
        </r>
      </text>
    </comment>
    <comment ref="B38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Below industry; constrained output</t>
        </r>
      </text>
    </comment>
    <comment ref="D38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HBM allocation limits commodity bit growth</t>
        </r>
      </text>
    </comment>
    <comment ref="D39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232L→300L layer transition drives bit growth</t>
        </r>
      </text>
    </comment>
    <comment ref="A42" authorId="2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HBM wafer allocation acts as a supply governor on commodity DRAM. Every wafer allocated to HBM reduces commodity supply by 3-5x (trade ratio). This means the HBM supercycle self-reinforces: more HBM demand → tighter commodity supply → higher commodity prices → higher blended margins.</t>
        </r>
      </text>
    </comment>
    <comment ref="A44" authorId="1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New nodes start at ~60-70% wafer yield and ramp to 90-95% over 4-6 quarters.
Yield x bits/wafer = effective bit output. Low yields at node start = higher cost/bit.</t>
        </r>
      </text>
    </comment>
    <comment ref="B46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Mature node; historical yield data</t>
        </r>
      </text>
    </comment>
    <comment ref="B47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Mgmt: 'fastest yield ramp in company history' — aggressive vs historical</t>
        </r>
      </text>
    </comment>
    <comment ref="B48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EUV multi-patterning; higher risk of yield issues; 2028+ timeline</t>
        </r>
      </text>
    </comment>
    <comment ref="A50" authorId="2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At 62% yield, effective cost/die is ~61% higher than at 95% yield (1/0.62 vs 1/0.95). Yield ramp is the #1 driver of cost/bit decline during node transitions. 1-gamma's aggressive ramp curve means cost benefits arrive faster than historical patterns.</t>
        </r>
      </text>
    </comment>
    <comment ref="A57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DRAM dies + 1 logic/base die</t>
        </r>
      </text>
    </comment>
    <comment ref="A58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Known Good Die yield</t>
        </r>
      </text>
    </comment>
    <comment ref="A61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HBM4 larger die for bandwidth</t>
        </r>
      </text>
    </comment>
    <comment ref="B62" authorId="1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Approx wafers = (dies consumed * die area) / usable wafer area (~50K mm²)</t>
        </r>
      </text>
    </comment>
    <comment ref="D62" authorId="1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Approx wafers = (dies consumed * die area) / usable wafer area (~50K mm²)</t>
        </r>
      </text>
    </comment>
    <comment ref="F62" authorId="1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Approx wafers = (dies consumed * die area) / usable wafer area (~50K mm²)</t>
        </r>
      </text>
    </comment>
    <comment ref="A63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EUV wafers for HBM4+; ~$4200+ per wafer</t>
        </r>
      </text>
    </comment>
    <comment ref="A64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Logic base die; TSMC CoWoS packaging</t>
        </r>
      </text>
    </comment>
    <comment ref="A65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Through-silicon via + thermal compression bonding</t>
        </r>
      </text>
    </comment>
    <comment ref="A66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Known good stack testing; final packaging</t>
        </r>
      </text>
    </comment>
    <comment ref="B68" authorId="3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HBM3E 8-Hi: ~$300/stack actual + margin</t>
        </r>
      </text>
    </comment>
    <comment ref="C68" authorId="3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HBM3E 12-Hi: ~$300/stack COGS, ASP reflects 60%+ GM. HBM3E +20% price hike for 2026 per TrendForce 12/24/25.</t>
        </r>
      </text>
    </comment>
    <comment ref="D68" authorId="3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>HBM4 12-Hi: ~$500/stack COGS per Silicon Analysts. ASP ~$10.42/GB. Volume shipping CQ1-26.</t>
        </r>
      </text>
    </comment>
    <comment ref="E68" authorId="3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HBM4 16-Hi: Premium pricing; 48GB capacity. Sampled only.</t>
        </r>
      </text>
    </comment>
    <comment ref="F68" authorId="3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HBM4E 12-Hi: Est. $12+/GB per industry roadmaps. Volume CY2027.</t>
        </r>
      </text>
    </comment>
    <comment ref="A80" authorId="2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KEY INSIGHT: HBM4 generates ~10x revenue per wafer start vs commodity DDR5. This explains why fab utilization metrics alone don't capture Micron's revenue potential — the MIX of what each wafer produces matters enormously. Shifting 1% of wafer starts from commodity to HBM4 increases revenue by ~$4K per wafer.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  <author>Mgmt disclosure</author>
    <author>Src</author>
    <author>Model fix</author>
    <author>TrendForce, WCCFTech, Digitimes</author>
    <author>TrendForce</author>
  </authors>
  <commentList>
    <comment ref="B6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CY2024: ~$16B industry HBM TAM</t>
        </r>
      </text>
    </comment>
    <comment ref="C6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CY2025: ~$35B per mgmt guidance 3/18/26</t>
        </r>
      </text>
    </comment>
    <comment ref="D6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CY2026E: ~40% CAGR trajectory</t>
        </r>
      </text>
    </comment>
    <comment ref="E6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CY2027E: Continued growth</t>
        </r>
      </text>
    </comment>
    <comment ref="F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CY2028E: $100B TAM pulled in from 2030 per mgmt 3/18/26</t>
        </r>
      </text>
    </comment>
    <comment ref="B7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CY2024: Early ramp; ~15% share</t>
        </r>
      </text>
    </comment>
    <comment ref="C7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CY2025: 21% per Counterpoint CQ2-2025 data</t>
        </r>
      </text>
    </comment>
    <comment ref="D7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CY2026E: Mgmt targeting 25%; HBM4 first-mover</t>
        </r>
      </text>
    </comment>
    <comment ref="F7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CY2028E: Gradual share gain with Singapore pkg capacity</t>
        </r>
      </text>
    </comment>
    <comment ref="A20" authorId="1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100% of CY2026 HBM supply (incl HBM4) committed with price and volume agreements. FQ2-26 earnings call 3/18/26.</t>
        </r>
      </text>
    </comment>
    <comment ref="A21" authorId="1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First 5-year Supply Commitment Agreement signed. FQ2-26 earnings call.</t>
        </r>
      </text>
    </comment>
    <comment ref="A22" authorId="1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Micron can currently satisfy only 50-65% of demand from several key customers. FQ1-26 earnings call.</t>
        </r>
      </text>
    </comment>
    <comment ref="A23" authorId="1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HBM TAM of $100B now expected by CY2028, pulled forward from CY2030 (2-year acceleration). FQ2-26 call.</t>
        </r>
      </text>
    </comment>
    <comment ref="A24" authorId="1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Singapore advanced packaging facility to contribute meaningfully to HBM supply in CY2027.</t>
        </r>
      </text>
    </comment>
    <comment ref="A25" authorId="1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India ATMP (Gujarat) commenced HBM module packaging operations February 2026.</t>
        </r>
      </text>
    </comment>
    <comment ref="A26" authorId="1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HBM4 volume shipments began CQ1-2026; designed for NVIDIA Vera Rubin platform.</t>
        </r>
      </text>
    </comment>
    <comment ref="A30" authorId="2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etnews 4/5/26. Price floor provisions; 10-30% upfront payment.</t>
        </r>
      </text>
    </comment>
    <comment ref="A31" authorId="2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etnews 4/5/26. Covers both HBM and server DDR5.</t>
        </r>
      </text>
    </comment>
    <comment ref="A32" authorId="2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EBN 4/5/26. Prices linked to spot with ranges; prepayments forfeited if volumes not met.</t>
        </r>
      </text>
    </comment>
    <comment ref="A33" authorId="2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EBN 4/5/26. New paradigm vs 2019 contracts which lacked enforcement.</t>
        </r>
      </text>
    </comment>
    <comment ref="A34" authorId="2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FQ2-26 earnings 3/18/26. First 5-year SCA. 100% CY2026 HBM committed.</t>
        </r>
      </text>
    </comment>
    <comment ref="E35" authorId="3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Prob-weighted revenue floor ($B): Tier1 HBM $25B*93% + Tier2 Enterprise $35B*82% + Tier3 OEM $30B*70% + Tier4 Spot $15B*55% = 23.3+28.7+21.0+8.3 = $81.2B. Rounded to $80.5B. Original formula referenced cells now overwritten by LTA table.</t>
        </r>
      </text>
    </comment>
    <comment ref="G39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FQ2-26: Mid-60s% QoQ pricing jump</t>
        </r>
      </text>
    </comment>
    <comment ref="A55" authorId="4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CRITICAL RISK: Micron excluded from Vera Rubin FLAGSHIP HBM4 allocation.
Samsung (30%) + SK Hynix (70%) are sole HBM4 suppliers for training variant.
Micron positioned for Rubin CPX (inference) variant.
MITIGANTS:
1. 5-year SCA provides volume floor regardless of platform allocation
2. HBM4 qualified and shipping; may rotate into flagship in H2-26
3. Rubin Ultra (HBM4E, 1TB/GPU) is a fresh qualification opportunity
4. 5 other HBM customers beyond NVIDIA diversify risk
WATCH: H2-26 qualification updates for flagship rotation</t>
        </r>
      </text>
    </comment>
    <comment ref="D77" authorId="2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~78% prob-weighted locked-in. Derived from: HBM 100% contracted + enterprise mostly committed + minimal spot exposure post-Crucial exit.
SCA broadly covers 'Micron's broad product portfolio' per Mehrotra — not HBM-only.
Sources: FQ2-26 earnings call, TrendForce 3/19/26, analyst Q&amp;A.</t>
        </r>
      </text>
    </comment>
    <comment ref="A91" authorId="5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Samsung, SK Hynix, and Micron all adopted post-settlement pricing for NA big-tech DRAM contracts.
How it works: contract at 100 KRW; if market doubles by settlement, additional 100 KRW paid.
Transfers pricing risk entirely to buyers.
This is SEPARATE from multi-year SCAs — it applies to conventional DRAM contracts.
Implication: Micron captures upside from rising prices even on non-SCA contracts.
Source: TrendForce 2/6/26, Tom's Hardware.</t>
        </r>
      </text>
    </comment>
    <comment ref="B100" authorId="2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MITIGANT: Micron's 5-year SCA and 6-customer HBM base provide diversification. Stargate is one (enormous) project; Micron serves broader hyperscaler ecosystem. BUT: 900K wafers/month = massive allocation that Micron is not part of. Source: Tom's Hardware, OpenAI/Stargate announcement Oct 2025.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  <author>Model</author>
    <author>Detail</author>
  </authors>
  <commentList>
    <comment ref="C16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Total $10.1B per FQ2-26 balance sheet. H1 paydown = $4.37B (2029 + 2030 notes redeemed + 2025 matured).</t>
        </r>
      </text>
    </comment>
    <comment ref="C18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Estimated WAM ~4.8 years based on tranche profile</t>
        </r>
      </text>
    </comment>
    <comment ref="B2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Remainder of 2026 notes</t>
        </r>
      </text>
    </comment>
    <comment ref="C2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2027 notes</t>
        </r>
      </text>
    </comment>
    <comment ref="D2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2028 notes</t>
        </r>
      </text>
    </comment>
    <comment ref="E2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2029 notes (after partial redemption)</t>
        </r>
      </text>
    </comment>
    <comment ref="F2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2030 notes (after partial redemption)</t>
        </r>
      </text>
    </comment>
    <comment ref="G2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2031 notes</t>
        </r>
      </text>
    </comment>
    <comment ref="H22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2032 + 2033 + other</t>
        </r>
      </text>
    </comment>
    <comment ref="B23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Retire remaining 2026 notes at maturity</t>
        </r>
      </text>
    </comment>
    <comment ref="C23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Likely retire 2027 notes early given strong FCF</t>
        </r>
      </text>
    </comment>
    <comment ref="D23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Retire 2028 notes</t>
        </r>
      </text>
    </comment>
    <comment ref="B28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FQ2-26 actual</t>
        </r>
      </text>
    </comment>
    <comment ref="D28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Aggressive paydown with FCF</t>
        </r>
      </text>
    </comment>
    <comment ref="B29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FQ2-26 actual: record $16.7B</t>
        </r>
      </text>
    </comment>
    <comment ref="C29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Growing rapidly with FCF</t>
        </r>
      </text>
    </comment>
    <comment ref="B31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Already net cash; ratio negative = healthy</t>
        </r>
      </text>
    </comment>
    <comment ref="E31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Deep net cash position by FY2028</t>
        </r>
      </text>
    </comment>
    <comment ref="D60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FQ3-26E: ~$33.5B rev x 81% GM + D&amp;A</t>
        </r>
      </text>
    </comment>
    <comment ref="A62" authorId="1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FCCR = EBITDA / (Interest + Mandatory debt service). Assumes ~$500M/qtr mandatory amortization.</t>
        </r>
      </text>
    </comment>
    <comment ref="C68" authorId="2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POSITIVE — Rapid deleveraging; net cash position; potential upgrade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  <author>SemiAnalysis, Medium analysis</author>
    <author>Insight</author>
    <author>Model</author>
  </authors>
  <commentList>
    <comment ref="E7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FQ2-26: Drawing down RM in strong demand environment</t>
        </r>
      </text>
    </comment>
    <comment ref="E8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FQ2-26: WIP declining as throughput increases</t>
        </r>
      </text>
    </comment>
    <comment ref="E9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FQ2-26: FG stable despite massive revenue ramp = healthy</t>
        </r>
      </text>
    </comment>
    <comment ref="H9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FQ1-27E: Slight build if demand decelerates</t>
        </r>
      </text>
    </comment>
    <comment ref="A12" authorId="1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INDUSTRY INVENTORY CONTEXT (SemiAnalysis):
Channel DRAM inventory: ~8 weeks (Q4-25) vs 31 weeks at 2023 glut peak
Below 10 weeks = shortage territory; 'any extra orders translate into shortages'
SemiAnalysis: 'Once-in-40-year shortage; not even close to peak'
Relief not until 2028 per Intel CEO, SemiAnalysis, and fab expansion timelines</t>
        </r>
      </text>
    </comment>
    <comment ref="B13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FQ2-25 COGS</t>
        </r>
      </text>
    </comment>
    <comment ref="C13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FQ4-25 COGS</t>
        </r>
      </text>
    </comment>
    <comment ref="D13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FQ1-26 COGS</t>
        </r>
      </text>
    </comment>
    <comment ref="E13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FQ2-26 COGS</t>
        </r>
      </text>
    </comment>
    <comment ref="F13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FQ3-26E: $33.5B * (1-81%)</t>
        </r>
      </text>
    </comment>
    <comment ref="G13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FQ4-26E: $35B * (1-78%)</t>
        </r>
      </text>
    </comment>
    <comment ref="B15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DIO ~150 = normal cycle</t>
        </r>
      </text>
    </comment>
    <comment ref="C15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DIO declining = demand pulling inventory</t>
        </r>
      </text>
    </comment>
    <comment ref="D15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DIO &lt; 120 = very tight</t>
        </r>
      </text>
    </comment>
    <comment ref="E15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DIO near cycle low = extreme demand</t>
        </r>
      </text>
    </comment>
    <comment ref="E18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FQ2-26: AR surging with revenue; collection lags</t>
        </r>
      </text>
    </comment>
    <comment ref="A25" authorId="2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WATCH SIGNAL: DIO rising above 130 while ASPs flatten = early warning of cycle turn. Currently DIO is near cycle lows = very bullish for pricing power.</t>
        </r>
      </text>
    </comment>
    <comment ref="A27" authorId="3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CCC = DIO + DSO - DPO. Lower CCC = faster cash generation. Memory companies typically have CCC of 80-120 days. CCC dropping below 60 = extremely tight market (bullish).</t>
        </r>
      </text>
    </comment>
    <comment ref="E30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DSO declining = faster collections in tight market</t>
        </r>
      </text>
    </comment>
    <comment ref="E31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DPO rising = stretching payables (leverage over suppliers)</t>
        </r>
      </text>
    </comment>
    <comment ref="A45" authorId="3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NWC as % of annualized revenue. Declining ratio = improving capital efficiency.
During supercycles, revenue scales faster than WC → ratio compresses.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  <author>SEC filings</author>
    <author>Src</author>
    <author>Model</author>
    <author>Insight</author>
  </authors>
  <commentList>
    <comment ref="B6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FQ1-26: Per 10-Q</t>
        </r>
      </text>
    </comment>
    <comment ref="C6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FQ2-26: Per 10-Q</t>
        </r>
      </text>
    </comment>
    <comment ref="B7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~5M shares/qtr from RSU vesting + option exercise</t>
        </r>
      </text>
    </comment>
    <comment ref="B8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Includes RSU vest, option exercise, ESPP</t>
        </r>
      </text>
    </comment>
    <comment ref="A9" authorId="1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$10B auth (May 2018). ~$7.84B used thru FQ2-26. ~$2.16B remaining.
New authorization likely needed before aggressive post-Dec 2026 buybacks.
CHIPS cap: dilution offset only (~$350M/qtr) thru Dec 9, 2026.</t>
        </r>
      </text>
    </comment>
    <comment ref="B9" authorId="2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$300M at ~$265 avg price in FQ1-26</t>
        </r>
      </text>
    </comment>
    <comment ref="C9" authorId="2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$350M at ~$350 avg price in FQ2-26 per 10-Q: 1.2M shares</t>
        </r>
      </text>
    </comment>
    <comment ref="D9" authorId="2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$350M / ~$390 avg</t>
        </r>
      </text>
    </comment>
    <comment ref="E9" authorId="2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$350M / ~$400 avg</t>
        </r>
      </text>
    </comment>
    <comment ref="F9" authorId="2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$1.5B / ~$400 avg = 3.8M shares; CHIPS restrictions easing Dec 9, 2026</t>
        </r>
      </text>
    </comment>
    <comment ref="G9" authorId="2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$2.5B / ~$400 avg = 6.3M shares; aggressive pace</t>
        </r>
      </text>
    </comment>
    <comment ref="H9" authorId="2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$3.0B / ~$400 avg = 7.5M shares</t>
        </r>
      </text>
    </comment>
    <comment ref="I9" authorId="2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$3.0B / ~$400 avg = 7.5M shares</t>
        </r>
      </text>
    </comment>
    <comment ref="B11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FQ1-26: Per 10-Q diluted EPS calc</t>
        </r>
      </text>
    </comment>
    <comment ref="C11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FQ2-26: Per 10-Q; ~1.142B diluted</t>
        </r>
      </text>
    </comment>
    <comment ref="D11" authorId="3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Diluted = Basic + ~35M dilutive securities (options + RSUs in-the-money)</t>
        </r>
      </text>
    </comment>
    <comment ref="F11" authorId="3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Diluted = Basic + ~35M dilutive securities (options + RSUs in-the-money)</t>
        </r>
      </text>
    </comment>
    <comment ref="H11" authorId="3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Diluted = Basic + ~35M dilutive securities (options + RSUs in-the-money)</t>
        </r>
      </text>
    </comment>
    <comment ref="B17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FY2026E: ~$35B</t>
        </r>
      </text>
    </comment>
    <comment ref="C17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FY2027E: ~$30B (higher capex)</t>
        </r>
      </text>
    </comment>
    <comment ref="C18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FY2027E: Construction capex +$10B YoY per mgmt</t>
        </r>
      </text>
    </comment>
    <comment ref="B20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FY2026E: Continued paydown</t>
        </r>
      </text>
    </comment>
    <comment ref="B22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CHIPS agreement restricts buybacks during grant period; easing expected Dec 2026</t>
        </r>
      </text>
    </comment>
    <comment ref="A24" authorId="4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POST-CHIPS RESTRICTION: Once buyback restrictions ease (Dec 2026), Micron could deploy $5-10B/yr in buybacks, retiring 3-5% of shares annually at ~$400/share. This is a material EPS tailwind not yet in consensus.</t>
        </r>
      </text>
    </comment>
    <comment ref="F29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RSUs/PSUs: TSM shares = gross shares (no exercise proceeds)</t>
        </r>
      </text>
    </comment>
    <comment ref="F30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RSUs/PSUs: TSM shares = gross shares (no exercise proceeds)</t>
        </r>
      </text>
    </comment>
    <comment ref="F31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RSUs/PSUs: TSM shares = gross shares (no exercise proceeds)</t>
        </r>
      </text>
    </comment>
    <comment ref="F32" authorId="3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Treasury Stock Method: assumes option exercise proceeds buy back shares at market price.
Net dilution = gross shares - proceeds / market price.
At $366, deep ITM options contribute most of their shares to dilution.</t>
        </r>
      </text>
    </comment>
    <comment ref="C36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Typical cliff + ratable vesting; Q4 tends to have higher vesting</t>
        </r>
      </text>
    </comment>
    <comment ref="A37" authorId="3" shapeId="0" xr:uid="{00000000-0006-0000-0A00-00001E000000}">
      <text>
        <r>
          <rPr>
            <sz val="11"/>
            <color theme="1"/>
            <rFont val="Calibri"/>
            <family val="2"/>
            <scheme val="minor"/>
          </rPr>
          <t>SBC expense = shares vesting x grant-date fair value. Avg grant price ~$150 reflects grants from 2023-2025.</t>
        </r>
      </text>
    </comment>
    <comment ref="B42" authorId="0" shapeId="0" xr:uid="{00000000-0006-0000-0A00-00001F000000}">
      <text>
        <r>
          <rPr>
            <sz val="11"/>
            <color theme="1"/>
            <rFont val="Calibri"/>
            <family val="2"/>
            <scheme val="minor"/>
          </rPr>
          <t>Base case FY2027E net income ~$42B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  <author>Model</author>
    <author>Transcript</author>
    <author>Model fix</author>
    <author>Src</author>
    <author>SemiAnalysis, model logic</author>
  </authors>
  <commentList>
    <comment ref="B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10-yr UST yield ~4.2%</t>
        </r>
      </text>
    </comment>
    <comment ref="B6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Damodaran 2026 ERP estimate</t>
        </r>
      </text>
    </comment>
    <comment ref="B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Memory is higher-beta; 5-yr regression vs S&amp;P 500</t>
        </r>
      </text>
    </comment>
    <comment ref="B8" authorId="1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CAPM: Rf + Beta * ERP</t>
        </r>
      </text>
    </comment>
    <comment ref="B9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Weighted avg coupon from Debt Schedule</t>
        </r>
      </text>
    </comment>
    <comment ref="B10" authorId="2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15.1% effective rate per FQ2-26 transcript and FQ3 guidance</t>
        </r>
      </text>
    </comment>
    <comment ref="B1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$10.1B debt / ($10.1B + $418B mkt cap)</t>
        </r>
      </text>
    </comment>
    <comment ref="B14" authorId="3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WACC = Ke*(E/V) + Kd_aftertax*(D/V)
= Cost_of_Equity * Equity_Weight + AfterTax_Cost_of_Debt * Debt_Weight
NOT circular — fixed from prior self-referencing formula.</t>
        </r>
      </text>
    </comment>
    <comment ref="B19" authorId="4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FY2026E: ~$106B (H1=$37.5B actual + Q3=$33.5B guided + Q4E=$35B)</t>
        </r>
      </text>
    </comment>
    <comment ref="C19" authorId="4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FY2027E: $118.5B consensus per StockAnalysis. Was $111B.</t>
        </r>
      </text>
    </comment>
    <comment ref="D19" authorId="4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FY2028E: BofA models cycle softening; EPS $31.84-&gt;$38.85-&gt;$29.15</t>
        </r>
      </text>
    </comment>
    <comment ref="E19" authorId="4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FY2029E: Fade period; new capacity online</t>
        </r>
      </text>
    </comment>
    <comment ref="F19" authorId="4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FY2030E: Trough/recovery</t>
        </r>
      </text>
    </comment>
    <comment ref="G19" authorId="4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FY2031E: Next cycle upturn</t>
        </r>
      </text>
    </comment>
    <comment ref="B20" authorId="4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FY2026E: Blended ~75% EBITDA margin (H1 lower, H2 peak)</t>
        </r>
      </text>
    </comment>
    <comment ref="C20" authorId="4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FY2027E: Normalization from peak; analyst consensus ~60-65%</t>
        </r>
      </text>
    </comment>
    <comment ref="D20" authorId="4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FY2028E: Further normalization; BofA models EPS declining</t>
        </r>
      </text>
    </comment>
    <comment ref="E20" authorId="4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FY2029E: Mid-cycle level</t>
        </r>
      </text>
    </comment>
    <comment ref="F20" authorId="4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FY2030E: Near-trough</t>
        </r>
      </text>
    </comment>
    <comment ref="G20" authorId="4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FY2031E: Recovery</t>
        </r>
      </text>
    </comment>
    <comment ref="B22" authorId="4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FY2026E: ~$12B (FY25 was $8.4B; growing with capex)</t>
        </r>
      </text>
    </comment>
    <comment ref="C22" authorId="4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FY2027E: Accelerating with capex ramp</t>
        </r>
      </text>
    </comment>
    <comment ref="D22" authorId="4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FY2028E: New fabs depreciating</t>
        </r>
      </text>
    </comment>
    <comment ref="E22" authorId="4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FY2029E: Peak D&amp;A as fabs reach full depreciation</t>
        </r>
      </text>
    </comment>
    <comment ref="F22" authorId="4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FY2030E</t>
        </r>
      </text>
    </comment>
    <comment ref="G22" authorId="4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FY2031E</t>
        </r>
      </text>
    </comment>
    <comment ref="B27" authorId="4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FY2026E: &gt;$25B per mgmt guidance</t>
        </r>
      </text>
    </comment>
    <comment ref="C27" authorId="4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FY2027E: Construction capex +$10B YoY per mgmt transcript</t>
        </r>
      </text>
    </comment>
    <comment ref="D27" authorId="4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FY2028E: Peak construction phase</t>
        </r>
      </text>
    </comment>
    <comment ref="E27" authorId="4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FY2029E: Post-peak normalization</t>
        </r>
      </text>
    </comment>
    <comment ref="F27" authorId="4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FY2030E: Maintenance + selective growth</t>
        </r>
      </text>
    </comment>
    <comment ref="G27" authorId="4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FY2031E: Steady state</t>
        </r>
      </text>
    </comment>
    <comment ref="B28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~$1.2B/yr milestone-based disbursement</t>
        </r>
      </text>
    </comment>
    <comment ref="G28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Grant disbursements tapering</t>
        </r>
      </text>
    </comment>
    <comment ref="D29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NWC release as revenue declines</t>
        </r>
      </text>
    </comment>
    <comment ref="B34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Mid-year convention</t>
        </r>
      </text>
    </comment>
    <comment ref="A41" authorId="5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TERMINAL GROWTH JUSTIFICATION:
SemiAnalysis: DRAM density scaling slowed to ~2x per decade (vs 100x at peak).
Memory as % of hyperscaler capex: 8% -&gt; 30% in 3 years.
AI structural demand creates a higher baseline vs pre-AI cycles.
HBM contracted revenue (multi-year SCAs with prepayments) provides revenue floor.
3.5% terminal growth = assumes memory sector grows at GDP+ due to AI structural demand,
but below the 5-10% near-term HBM CAGR to reflect cycle normalization.</t>
        </r>
      </text>
    </comment>
    <comment ref="B41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3.5% perpetuity growth; reflects memory industry long-term CAGR with AI structural demand</t>
        </r>
      </text>
    </comment>
    <comment ref="B42" authorId="1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Gordon Growth: FCF*(1+g)/(WACC-g)</t>
        </r>
      </text>
    </comment>
    <comment ref="B43" authorId="1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Terminal value discounted to today using year-6 discount factor</t>
        </r>
      </text>
    </comment>
    <comment ref="B50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FQ2-26: $16.7B cash - $10.1B debt = $6.6B net cash</t>
        </r>
      </text>
    </comment>
    <comment ref="B52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1.142B diluted shares per FQ2-26</t>
        </r>
      </text>
    </comment>
    <comment ref="F69" authorId="4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Bull DCF: Higher rev growth, higher margins, higher terminal growth</t>
        </r>
      </text>
    </comment>
    <comment ref="F70" authorId="4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Base DCF: Should match base case DCF calculation (~$485-520)</t>
        </r>
      </text>
    </comment>
    <comment ref="F71" authorId="4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Bear DCF: Lower margins, faster normalization</t>
        </r>
      </text>
    </comment>
    <comment ref="F72" authorId="4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Hard landing DCF: Deep recession, margin collapse</t>
        </r>
      </text>
    </comment>
    <comment ref="B7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FY2026E GAAP net income</t>
        </r>
      </text>
    </comment>
    <comment ref="B83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After-tax interest add-back to get FCFF</t>
        </r>
      </text>
    </comment>
    <comment ref="B84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H2 paydown estimate</t>
        </r>
      </text>
    </comment>
    <comment ref="B89" authorId="4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Low: Bear scenario DCF</t>
        </r>
      </text>
    </comment>
    <comment ref="C89" authorId="4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Base: Steady growth DCF</t>
        </r>
      </text>
    </comment>
    <comment ref="D89" authorId="4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High: Bull scenario DCF</t>
        </r>
      </text>
    </comment>
    <comment ref="B95" authorId="4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Low: Hard landing bear</t>
        </r>
      </text>
    </comment>
    <comment ref="C95" authorId="4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Base: Prob-weighted target (~$554 from Assumptions / ~$490 avg method)</t>
        </r>
      </text>
    </comment>
    <comment ref="D95" authorId="4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High: Bull scenario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Multiple</author>
    <author>Source</author>
    <author>Model</author>
    <author>Src</author>
  </authors>
  <commentList>
    <comment ref="A5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STOCK PRICE CONTEXT:
ATH: $471.34 on March 18 (earnings day)
Drawdown: -22% from ATH to ~$366
52-week range: $61.54 - $471.34
SELL-OFF DRIVERS (not fundamental):
1. Google TurboQuant algorithm fears (-10%)
2. CapEx 'hog cycle' concerns ($25B+ FY26)
3. April 2 tariff announcement (-5.5%)
4. Citi PT cut $510-&gt;$425 on April 2 (-6%)
5. DDR5 spot price softening -5.1%
CONSENSUS: 38 Buy, 0 Sell. Avg PT $525.48
Source: Stock Analysis, CNBC, Motley Fool</t>
        </r>
      </text>
    </comment>
    <comment ref="B5" authorId="1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April 2026; post-sell-off from ~$490 peak</t>
        </r>
      </text>
    </comment>
    <comment ref="B6" authorId="1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FQ2-26 filing</t>
        </r>
      </text>
    </comment>
    <comment ref="B8" authorId="1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FQ2-26 balance sheet</t>
        </r>
      </text>
    </comment>
    <comment ref="B9" authorId="1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FQ2-26: Record; per mgmt commentary</t>
        </r>
      </text>
    </comment>
    <comment ref="C14" authorId="2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Sum of FQ3-25 + FQ4-25 + FQ1-26 + FQ2-26 non-GAAP EPS</t>
        </r>
      </text>
    </comment>
    <comment ref="D14" authorId="2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Current P/E = Price / LTM EPS</t>
        </r>
      </text>
    </comment>
    <comment ref="D15" authorId="1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14x = premium to historical 8-12x on revenue quality</t>
        </r>
      </text>
    </comment>
    <comment ref="D16" authorId="1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12x on FY27; discount for normalization uncertainty</t>
        </r>
      </text>
    </comment>
    <comment ref="C17" authorId="2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Average of FY2025 + FY2026E + FY2027E non-GAAP EPS</t>
        </r>
      </text>
    </comment>
    <comment ref="D17" authorId="1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15x mid-cycle; re-rating thesis for HBM revenue quality</t>
        </r>
      </text>
    </comment>
    <comment ref="C18" authorId="1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FY2026E EBITDA est. ~$85B</t>
        </r>
      </text>
    </comment>
    <comment ref="D18" authorId="1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11x EV/EBITDA</t>
        </r>
      </text>
    </comment>
    <comment ref="E18" authorId="2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Implied equity value = (EBITDA x multiple - debt + cash) / shares</t>
        </r>
      </text>
    </comment>
    <comment ref="C19" authorId="1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FY2026E FCF est. ~$35B</t>
        </r>
      </text>
    </comment>
    <comment ref="D19" authorId="1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6% FCF yield = fair value</t>
        </r>
      </text>
    </comment>
    <comment ref="E20" authorId="1" shapeId="0" xr:uid="{00000000-0006-0000-0C00-000011000000}">
      <text>
        <r>
          <rPr>
            <sz val="11"/>
            <color theme="1"/>
            <rFont val="Calibri"/>
            <family val="2"/>
            <scheme val="minor"/>
          </rPr>
          <t>SoTP: HBM at 20x, commodity DRAM at 10x, NAND at 8x earnings</t>
        </r>
      </text>
    </comment>
    <comment ref="B32" authorId="2" shapeId="0" xr:uid="{00000000-0006-0000-0C00-000012000000}">
      <text>
        <r>
          <rPr>
            <sz val="11"/>
            <color theme="1"/>
            <rFont val="Calibri"/>
            <family val="2"/>
            <scheme val="minor"/>
          </rPr>
          <t>Market is pricing ~$26 normalized EPS at 14x. If FY27E EPS is $42 (base case), stock is cheap.</t>
        </r>
      </text>
    </comment>
    <comment ref="B33" authorId="2" shapeId="0" xr:uid="{00000000-0006-0000-0C00-000013000000}">
      <text>
        <r>
          <rPr>
            <sz val="11"/>
            <color theme="1"/>
            <rFont val="Calibri"/>
            <family val="2"/>
            <scheme val="minor"/>
          </rPr>
          <t>At 10x (bear multiple), market pricing $37 EPS — below even cyclical correction scenario.</t>
        </r>
      </text>
    </comment>
    <comment ref="A36" authorId="2" shapeId="0" xr:uid="{00000000-0006-0000-0C00-000014000000}">
      <text>
        <r>
          <rPr>
            <sz val="11"/>
            <color theme="1"/>
            <rFont val="Calibri"/>
            <family val="2"/>
            <scheme val="minor"/>
          </rPr>
          <t>Each cell = EPS x Multiple = implied share price. Yellow = current price zone.</t>
        </r>
      </text>
    </comment>
    <comment ref="B50" authorId="3" shapeId="0" xr:uid="{00000000-0006-0000-0C00-000015000000}">
      <text>
        <r>
          <rPr>
            <sz val="11"/>
            <color theme="1"/>
            <rFont val="Calibri"/>
            <family val="2"/>
            <scheme val="minor"/>
          </rPr>
          <t>Pre-Q3 guide; will be revised UP</t>
        </r>
      </text>
    </comment>
    <comment ref="B51" authorId="3" shapeId="0" xr:uid="{00000000-0006-0000-0C00-000016000000}">
      <text>
        <r>
          <rPr>
            <sz val="11"/>
            <color theme="1"/>
            <rFont val="Calibri"/>
            <family val="2"/>
            <scheme val="minor"/>
          </rPr>
          <t>H1=$37.5B + Q3=$33.5B + Q4E=$35B</t>
        </r>
      </text>
    </comment>
    <comment ref="B52" authorId="3" shapeId="0" xr:uid="{00000000-0006-0000-0C00-000017000000}">
      <text>
        <r>
          <rPr>
            <sz val="11"/>
            <color theme="1"/>
            <rFont val="Calibri"/>
            <family val="2"/>
            <scheme val="minor"/>
          </rPr>
          <t>Pre-Q3 guide consensus</t>
        </r>
      </text>
    </comment>
    <comment ref="B54" authorId="3" shapeId="0" xr:uid="{00000000-0006-0000-0C00-000018000000}">
      <text>
        <r>
          <rPr>
            <sz val="11"/>
            <color theme="1"/>
            <rFont val="Calibri"/>
            <family val="2"/>
            <scheme val="minor"/>
          </rPr>
          <t>38 Buy, 0 Hold, 0 Sell</t>
        </r>
      </text>
    </comment>
    <comment ref="B55" authorId="3" shapeId="0" xr:uid="{00000000-0006-0000-0C00-000019000000}">
      <text>
        <r>
          <rPr>
            <sz val="11"/>
            <color theme="1"/>
            <rFont val="Calibri"/>
            <family val="2"/>
            <scheme val="minor"/>
          </rPr>
          <t>Range: $425 (Citi) to $700+ (Cantor)</t>
        </r>
      </text>
    </comment>
    <comment ref="B62" authorId="3" shapeId="0" xr:uid="{00000000-0006-0000-0C00-00001A000000}">
      <text>
        <r>
          <rPr>
            <sz val="11"/>
            <color theme="1"/>
            <rFont val="Calibri"/>
            <family val="2"/>
            <scheme val="minor"/>
          </rPr>
          <t>Raised +62% post-Q2</t>
        </r>
      </text>
    </comment>
    <comment ref="B63" authorId="3" shapeId="0" xr:uid="{00000000-0006-0000-0C00-00001B000000}">
      <text>
        <r>
          <rPr>
            <sz val="11"/>
            <color theme="1"/>
            <rFont val="Calibri"/>
            <family val="2"/>
            <scheme val="minor"/>
          </rPr>
          <t>Raised +80% post-Q2</t>
        </r>
      </text>
    </comment>
    <comment ref="B64" authorId="3" shapeId="0" xr:uid="{00000000-0006-0000-0C00-00001C000000}">
      <text>
        <r>
          <rPr>
            <sz val="11"/>
            <color theme="1"/>
            <rFont val="Calibri"/>
            <family val="2"/>
            <scheme val="minor"/>
          </rPr>
          <t>Raised +42% but BELOW FY27 = models cycle downturn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  <author>Src</author>
    <author>Insight</author>
    <author>Model</author>
  </authors>
  <commentList>
    <comment ref="B7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FY2023: Trough year; memory downturn</t>
        </r>
      </text>
    </comment>
    <comment ref="C7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FY2024: Recovery year</t>
        </r>
      </text>
    </comment>
    <comment ref="D7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FY2025: +49% YoY; HBM ramp</t>
        </r>
      </text>
    </comment>
    <comment ref="E7" authorId="1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FY2026E: from DCF tab</t>
        </r>
      </text>
    </comment>
    <comment ref="F7" authorId="1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FY2027E: $118.5B consensus per StockAnalysis</t>
        </r>
      </text>
    </comment>
    <comment ref="G7" authorId="1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FY2028E: cycle normalization per BofA</t>
        </r>
      </text>
    </comment>
    <comment ref="B8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FY2023: Operating LOSS at trough</t>
        </r>
      </text>
    </comment>
    <comment ref="C8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FY2024: Barely profitable</t>
        </r>
      </text>
    </comment>
    <comment ref="D8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FY2025: Strong recovery</t>
        </r>
      </text>
    </comment>
    <comment ref="E8" authorId="1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FY2026E: ~$106B*75%EBITDA margin - $12B D&amp;A = ~$67B; round to $68B</t>
        </r>
      </text>
    </comment>
    <comment ref="F8" authorId="1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FY2027E: ~$118B*65%EBITDA - $15B D&amp;A = ~$62B</t>
        </r>
      </text>
    </comment>
    <comment ref="G8" authorId="1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FY2028E: ~$105B*55%EBITDA - $18B D&amp;A = ~$40B</t>
        </r>
      </text>
    </comment>
    <comment ref="E14" authorId="1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FY2026E: $46.6B actual FQ4-25 + $25B capex - $12B D&amp;A + adds</t>
        </r>
      </text>
    </comment>
    <comment ref="F14" authorId="1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FY2027E: +$36B capex - $15B D&amp;A</t>
        </r>
      </text>
    </comment>
    <comment ref="G14" authorId="1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FY2028E: +$32B capex - $18B D&amp;A</t>
        </r>
      </text>
    </comment>
    <comment ref="A31" authorId="2" shapeId="0" xr:uid="{00000000-0006-0000-0D00-000010000000}">
      <text>
        <r>
          <rPr>
            <sz val="11"/>
            <color theme="1"/>
            <rFont val="Calibri"/>
            <family val="2"/>
            <scheme val="minor"/>
          </rPr>
          <t>KEY INSIGHT: The swing from -11% ROIC (FY2023 trough) to ~90%+ ROIC (FY2026E peak) illustrates why memory is the hardest sector to value. Mid-cycle ROIC of ~35-40% substantially exceeds WACC (~11%), indicating structural value creation. The question is whether HBM contracted revenue narrows this volatility band going forward.</t>
        </r>
      </text>
    </comment>
    <comment ref="A33" authorId="3" shapeId="0" xr:uid="{00000000-0006-0000-0D00-000011000000}">
      <text>
        <r>
          <rPr>
            <sz val="11"/>
            <color theme="1"/>
            <rFont val="Calibri"/>
            <family val="2"/>
            <scheme val="minor"/>
          </rPr>
          <t>ROIC = NOPAT Margin x Capital Turns. This decomposes whether returns are margin-driven or asset-turn-driven.</t>
        </r>
      </text>
    </comment>
    <comment ref="A38" authorId="2" shapeId="0" xr:uid="{00000000-0006-0000-0D00-000012000000}">
      <text>
        <r>
          <rPr>
            <sz val="11"/>
            <color theme="1"/>
            <rFont val="Calibri"/>
            <family val="2"/>
            <scheme val="minor"/>
          </rPr>
          <t>DUPONT INSIGHT: Micron's ROIC is almost entirely margin-driven (high NOPAT margin) rather than asset-turn-driven. Capital turns are relatively low (~1.0-1.5x) because fabs are extremely capital-intensive. This means gross margin is the dominant driver of shareholder returns — supporting our focus on ASP/cost spread in the Bit Economics tab.</t>
        </r>
      </text>
    </comment>
    <comment ref="A40" authorId="3" shapeId="0" xr:uid="{00000000-0006-0000-0D00-000013000000}">
      <text>
        <r>
          <rPr>
            <sz val="11"/>
            <color theme="1"/>
            <rFont val="Calibri"/>
            <family val="2"/>
            <scheme val="minor"/>
          </rPr>
          <t>Incremental ROIC = Change in NOPAT / Change in Invested Capital.
This measures the return on EACH ADDITIONAL DOLLAR of capital deployed.
Incremental ROIC &gt; WACC = every $ of capex creates value.</t>
        </r>
      </text>
    </comment>
    <comment ref="B42" authorId="1" shapeId="0" xr:uid="{00000000-0006-0000-0D00-000014000000}">
      <text>
        <r>
          <rPr>
            <sz val="11"/>
            <color theme="1"/>
            <rFont val="Calibri"/>
            <family val="2"/>
            <scheme val="minor"/>
          </rPr>
          <t>FY24-&gt;25: NOPAT grew $6.8B</t>
        </r>
      </text>
    </comment>
    <comment ref="C42" authorId="1" shapeId="0" xr:uid="{00000000-0006-0000-0D00-000015000000}">
      <text>
        <r>
          <rPr>
            <sz val="11"/>
            <color theme="1"/>
            <rFont val="Calibri"/>
            <family val="2"/>
            <scheme val="minor"/>
          </rPr>
          <t>FY25-&gt;26: NOPAT grew $49.6B (supercycle)</t>
        </r>
      </text>
    </comment>
    <comment ref="D42" authorId="1" shapeId="0" xr:uid="{00000000-0006-0000-0D00-000016000000}">
      <text>
        <r>
          <rPr>
            <sz val="11"/>
            <color theme="1"/>
            <rFont val="Calibri"/>
            <family val="2"/>
            <scheme val="minor"/>
          </rPr>
          <t>FY26-&gt;27: NOPAT declined -$5.1B (margin normalization despite rev growth)</t>
        </r>
      </text>
    </comment>
    <comment ref="E42" authorId="1" shapeId="0" xr:uid="{00000000-0006-0000-0D00-000017000000}">
      <text>
        <r>
          <rPr>
            <sz val="11"/>
            <color theme="1"/>
            <rFont val="Calibri"/>
            <family val="2"/>
            <scheme val="minor"/>
          </rPr>
          <t>FY27-&gt;28: NOPAT declined -$18.6B (cycle turning)</t>
        </r>
      </text>
    </comment>
    <comment ref="C43" authorId="1" shapeId="0" xr:uid="{00000000-0006-0000-0D00-000018000000}">
      <text>
        <r>
          <rPr>
            <sz val="11"/>
            <color theme="1"/>
            <rFont val="Calibri"/>
            <family val="2"/>
            <scheme val="minor"/>
          </rPr>
          <t>FY25-&gt;26: IC grew $17B (massive capex)</t>
        </r>
      </text>
    </comment>
    <comment ref="D43" authorId="1" shapeId="0" xr:uid="{00000000-0006-0000-0D00-000019000000}">
      <text>
        <r>
          <rPr>
            <sz val="11"/>
            <color theme="1"/>
            <rFont val="Calibri"/>
            <family val="2"/>
            <scheme val="minor"/>
          </rPr>
          <t>FY26-&gt;27: IC grew $21B ($36B capex)</t>
        </r>
      </text>
    </comment>
    <comment ref="E43" authorId="1" shapeId="0" xr:uid="{00000000-0006-0000-0D00-00001A000000}">
      <text>
        <r>
          <rPr>
            <sz val="11"/>
            <color theme="1"/>
            <rFont val="Calibri"/>
            <family val="2"/>
            <scheme val="minor"/>
          </rPr>
          <t>FY27-&gt;28: IC grew $11B (capex normalizing)</t>
        </r>
      </text>
    </comment>
    <comment ref="D45" authorId="3" shapeId="0" xr:uid="{00000000-0006-0000-0D00-00001B000000}">
      <text>
        <r>
          <rPr>
            <sz val="11"/>
            <color theme="1"/>
            <rFont val="Calibri"/>
            <family val="2"/>
            <scheme val="minor"/>
          </rPr>
          <t>Negative incremental ROIC in FY26-&gt;27 is EXPECTED during cycle normalization.
Revenue grew ($106B-&gt;$118B) but margins compressed (75%-&gt;65% EBITDA) and capex surged ($36B).
This does NOT mean value destruction — average ROIC still far above WACC.
The question: does mid-cycle ROIC settle above WACC? At ~35-40%, yes.</t>
        </r>
      </text>
    </comment>
    <comment ref="A47" authorId="2" shapeId="0" xr:uid="{00000000-0006-0000-0D00-00001C000000}">
      <text>
        <r>
          <rPr>
            <sz val="11"/>
            <color theme="1"/>
            <rFont val="Calibri"/>
            <family val="2"/>
            <scheme val="minor"/>
          </rPr>
          <t>Incremental ROIC turning negative in FY26→27E and FY27→28E reflects NOPAT declining from peak while invested capital continues rising (massive capex cycle). This is EXPECTED in a normalization — the question is whether mid-cycle ROIC settles above WACC (value creation) or below (value destruction). At 35-40% avg ROIC vs 11% WACC, Micron creates value.</t>
        </r>
      </text>
    </comment>
    <comment ref="E51" authorId="1" shapeId="0" xr:uid="{00000000-0006-0000-0D00-00001D000000}">
      <text>
        <r>
          <rPr>
            <sz val="11"/>
            <color theme="1"/>
            <rFont val="Calibri"/>
            <family val="2"/>
            <scheme val="minor"/>
          </rPr>
          <t>FY2026E: $68B * (1-15.1%)</t>
        </r>
      </text>
    </comment>
    <comment ref="F51" authorId="1" shapeId="0" xr:uid="{00000000-0006-0000-0D00-00001E000000}">
      <text>
        <r>
          <rPr>
            <sz val="11"/>
            <color theme="1"/>
            <rFont val="Calibri"/>
            <family val="2"/>
            <scheme val="minor"/>
          </rPr>
          <t>FY2027E: $62B * (1-15.1%)</t>
        </r>
      </text>
    </comment>
    <comment ref="G51" authorId="1" shapeId="0" xr:uid="{00000000-0006-0000-0D00-00001F000000}">
      <text>
        <r>
          <rPr>
            <sz val="11"/>
            <color theme="1"/>
            <rFont val="Calibri"/>
            <family val="2"/>
            <scheme val="minor"/>
          </rPr>
          <t>FY2028E: $40B * (1-15.1%)</t>
        </r>
      </text>
    </comment>
    <comment ref="E52" authorId="1" shapeId="0" xr:uid="{00000000-0006-0000-0D00-000020000000}">
      <text>
        <r>
          <rPr>
            <sz val="11"/>
            <color theme="1"/>
            <rFont val="Calibri"/>
            <family val="2"/>
            <scheme val="minor"/>
          </rPr>
          <t>FY2026E IC: PP&amp;E $55B + NWC $12B + Other $5B</t>
        </r>
      </text>
    </comment>
    <comment ref="F52" authorId="1" shapeId="0" xr:uid="{00000000-0006-0000-0D00-000021000000}">
      <text>
        <r>
          <rPr>
            <sz val="11"/>
            <color theme="1"/>
            <rFont val="Calibri"/>
            <family val="2"/>
            <scheme val="minor"/>
          </rPr>
          <t>FY2027E IC: PP&amp;E $73B + NWC $14B + Other $7B</t>
        </r>
      </text>
    </comment>
    <comment ref="G52" authorId="1" shapeId="0" xr:uid="{00000000-0006-0000-0D00-000022000000}">
      <text>
        <r>
          <rPr>
            <sz val="11"/>
            <color theme="1"/>
            <rFont val="Calibri"/>
            <family val="2"/>
            <scheme val="minor"/>
          </rPr>
          <t>FY2028E IC: PP&amp;E $85B + NWC $13B + Other $7B</t>
        </r>
      </text>
    </comment>
    <comment ref="A65" authorId="2" shapeId="0" xr:uid="{00000000-0006-0000-0D00-000023000000}">
      <text>
        <r>
          <rPr>
            <sz val="11"/>
            <color theme="1"/>
            <rFont val="Calibri"/>
            <family val="2"/>
            <scheme val="minor"/>
          </rPr>
          <t>Memory ROIC is inherently volatile due to commodity pricing cycles. However, Micron's structural HBM revenue should narrow the ROIC band going forward. If HBM grows to 40%+ of DRAM revenue and carries 60%+ GM, the trough ROIC should be structurally higher than historical troughs — this is the core re-rating thesis.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A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Market cap: Market data April 2026</t>
        </r>
      </text>
    </comment>
    <comment ref="A6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FY Rev: MU FY2025=$37.4B; SKH FY2025=97.1T KRW; Samsung total co.</t>
        </r>
      </text>
    </comment>
    <comment ref="A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Op margin: MU FY2025 41%; SKH FY2025 49%; Samsung DS 2025</t>
        </r>
      </text>
    </comment>
    <comment ref="A8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GM: MU FQ2-26 74.5%; SKH CQ4-25 58%; Samsung CQ4-25 58%</t>
        </r>
      </text>
    </comment>
    <comment ref="A9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HBM share: Counterpoint CQ2-2025</t>
        </r>
      </text>
    </comment>
    <comment ref="A10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DRAM share: Industry estimates CY2025</t>
        </r>
      </text>
    </comment>
    <comment ref="A11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NAND share: Industry estimates CY2025</t>
        </r>
      </text>
    </comment>
    <comment ref="A1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Fwd P/E: Consensus estimates</t>
        </r>
      </text>
    </comment>
    <comment ref="A13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EV/EBITDA: GuruFocus/FinBox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etnews/EBN 4/5/26</author>
    <author>Detail</author>
    <author>Research</author>
    <author>Analysis</author>
  </authors>
  <commentList>
    <comment ref="A5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UPDATED 4/5/26: Samsung pursuing LTAs with MSFT/Google suggests strategic pivot to lock in volume rather than compete on HBM yield alone. Risk of HBM commoditization may be LOWER than modeled because customers are signing multi-year deals NOW while Micron has technology lead. Still monitor Samsung HBM4 qual at NVIDIA.</t>
        </r>
      </text>
    </comment>
    <comment ref="D7" authorId="1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Quarterly capex guidance from MSFT, GOOGL, AMZN, META; cloud revenue growth rates</t>
        </r>
      </text>
    </comment>
    <comment ref="E7" authorId="1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AI training demand is multi-year; inference demand growing; HBM is under-supplied</t>
        </r>
      </text>
    </comment>
    <comment ref="D47" authorId="2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TrendForce 3/9/26: Samsung (30%) + SK Hynix (70%) tapped as flagship Vera Rubin HBM4 suppliers. Micron gets Rubin CPX (inference) only.</t>
        </r>
      </text>
    </comment>
    <comment ref="E47" authorId="3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Micron positioned for Rubin CPX + future rotation. HBM4 qualified and shipping. 5-year SCA provides volume floor. Monitor H2-26 qual updates.</t>
        </r>
      </text>
    </comment>
    <comment ref="D48" authorId="2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Memory compression could reduce LLM memory needs by up to 6x. Academic paper; production timeline unknown.</t>
        </r>
      </text>
    </comment>
    <comment ref="E48" authorId="3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Impacts inference &gt; training. Near-term (FY26-27) training dominates capex. Long-tail risk for HBM demand post-2028.</t>
        </r>
      </text>
    </comment>
    <comment ref="D49" authorId="2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Universal 10% tariff on imports from Taiwan/Japan/Singapore. Bare dies (HTS 8542) EXEMPT. Modules/SSDs face 10%.</t>
        </r>
      </text>
    </comment>
    <comment ref="E49" authorId="3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Micron imposing surcharge on modules/SSDs (DCD 4/9/26). CHIPS Act domestic mfg hedges long-term. April 11 electronics exemption further insulates.</t>
        </r>
      </text>
    </comment>
    <comment ref="D50" authorId="2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DDR5 16Gb spot: -5.1% late March (Seoul Econ Daily). Middle East crisis panic selling. Contract prices still surging.</t>
        </r>
      </text>
    </comment>
    <comment ref="E50" authorId="3" shapeId="0" xr:uid="{00000000-0006-0000-0F00-00000B000000}">
      <text>
        <r>
          <rPr>
            <sz val="11"/>
            <color theme="1"/>
            <rFont val="Calibri"/>
            <family val="2"/>
            <scheme val="minor"/>
          </rPr>
          <t>Spot =/= contract. Micron sells to enterprise under contracts, not retail spot. BUT: if spot weakness bleeds into Q3 contracts, margins compress.</t>
        </r>
      </text>
    </comment>
    <comment ref="D51" authorId="2" shapeId="0" xr:uid="{00000000-0006-0000-0F00-00000C000000}">
      <text>
        <r>
          <rPr>
            <sz val="11"/>
            <color theme="1"/>
            <rFont val="Calibri"/>
            <family val="2"/>
            <scheme val="minor"/>
          </rPr>
          <t>FY26 capex $25B+. FY27 'stepping up meaningfully' (+$10B YoY per mgmt). Combined Big 3 expansion could overshoot 2028 demand.</t>
        </r>
      </text>
    </comment>
    <comment ref="E51" authorId="3" shapeId="0" xr:uid="{00000000-0006-0000-0F00-00000D000000}">
      <text>
        <r>
          <rPr>
            <sz val="11"/>
            <color theme="1"/>
            <rFont val="Calibri"/>
            <family val="2"/>
            <scheme val="minor"/>
          </rPr>
          <t>Historical parallel: 1993 had 50 fab announcements before oversupply. Current cycle has fewer suppliers (3 vs 20+). Mgmt aware of cycle risk.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Multiple sources</author>
    <author>Detail</author>
    <author>Market Intel 4/5/26</author>
    <author>SemiAnalysis</author>
    <author>Earnings call</author>
  </authors>
  <commentList>
    <comment ref="C4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SELL-OFF ANALYSIS (March 18 - April 5, 2026):
ATH $471.34 -&gt; ~$366 = -22% in 18 days
DRIVER 1: TurboQuant (Google memory compression algo, -10%)
  Reality: Academic paper; production timeline unknown; impacts inference &gt; training
DRIVER 2: CapEx 'hog cycle' ($25B FY26, +$10B FY27, -8%)
  Reality: Required to meet demand; CHIPS Act offsets; ROI very high at current pricing
DRIVER 3: April 2 tariffs (-5.5%)
  Reality: Bare dies EXEMPT; modules face 10% passed via surcharge; -50bps margin
DRIVER 4: Citi PT cut $510-&gt;$425 (-6%)
  Reality: 38 Buy / 0 Sell; avg PT $525. Citi still rated Buy.
DRIVER 5: DDR5 spot -5.1% late March
  Reality: Retail panic (Middle East crisis); contract prices still surging
CONCLUSION: Sell-off is sentiment-driven, not fundamental.
Every Q3 metric (revenue, margin, EPS) ABOVE prior peak.
Post-tariff sell-off creates entry point.</t>
        </r>
      </text>
    </comment>
    <comment ref="A8" authorId="1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1. DURATION OF SUPPLY CONSTRAINT: Market expects cycle normalization by H2-2026. We believe supply constraints persist into CY2027 because (a) HBM trade ratios inherently tighten commodity DRAM supply, (b) no major greenfield capacity arrives until Idaho Fab 1 in H2-2027, and (c) demand growth (25% CY2026E) exceeds supply growth (14%).</t>
        </r>
      </text>
    </comment>
    <comment ref="A9" authorId="1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2. REVENUE QUALITY TRANSFORMATION: Market still values Micron as a commodity cyclical (implied 7-10x P/E on normalized earnings). 100% of CY2026 HBM supply is contracted with price/volume agreements. A 5-year SCA was signed. This creates a revenue floor that didn't exist in prior cycles. Revenue quality justifies 12-15x mid-cycle multiple.</t>
        </r>
      </text>
    </comment>
    <comment ref="A10" authorId="1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3. DELEVERAGING PACE: Micron moved from net debt to $6.6B net cash in 3 quarters, paying down $4.37B of debt in H1-FY2026 alone. Once CHIPS Act buyback restrictions ease (Dec 2026), capital return could accelerate significantly. $35B+ FY2026E FCF enables simultaneous investment and returns.</t>
        </r>
      </text>
    </comment>
    <comment ref="A14" authorId="1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Supply constraints persist beyond CY2027. HBM TAM exceeds $100B. Micron maintains 70%+ GM. Multiple re-rates to 18x. FY27E EPS: $55. Target: $990.</t>
        </r>
      </text>
    </comment>
    <comment ref="A16" authorId="1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Orderly normalization. GM settles at 60-65%. HBM grows at plan. Multiple at 14x. FY27E EPS: $42. Target: $588.</t>
        </r>
      </text>
    </comment>
    <comment ref="A18" authorId="1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Hyperscaler capex plateaus. Pricing normalizes faster. Samsung closes HBM gap. GM to 45%. Multiple at 10x. FY27E EPS: $25. Target: $250.</t>
        </r>
      </text>
    </comment>
    <comment ref="A20" authorId="1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AI winter + macro recession. Inventory builds. GM collapses to 30%. Multiple at 7x. FY27E EPS: $10. Target: $70.</t>
        </r>
      </text>
    </comment>
    <comment ref="A23" authorId="1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• Buyback: Currently limited by CHIPS Act agreement terms (~$350M/qtr). Restrictions expected to ease post-Dec 2026. At $35B+ annual FCF, significant acceleration possible.</t>
        </r>
      </text>
    </comment>
    <comment ref="A24" authorId="1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• Dividend: Increased 30% to $0.15/qtr ($0.60/year) in March 2026. Yield ~0.16% at current price. Expect further increases as FCF grows.</t>
        </r>
      </text>
    </comment>
    <comment ref="A25" authorId="1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• Debt: $4.37B paid down in H1-FY2026. Net cash position of $6.6B (record). Total liquidity &gt;$20B. Targeting sustained net cash.</t>
        </r>
      </text>
    </comment>
    <comment ref="A29" authorId="1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 xml:space="preserve">  • Gross margins sustained above 70% beyond FQ3-26 (implies pricing power duration)</t>
        </r>
      </text>
    </comment>
    <comment ref="A30" authorId="1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 xml:space="preserve">  • Additional multi-year SCAs signed (broadens contracted revenue floor)</t>
        </r>
      </text>
    </comment>
    <comment ref="A31" authorId="1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 xml:space="preserve">  • Samsung HBM4 qualification further delayed (extends Micron's technology lead)</t>
        </r>
      </text>
    </comment>
    <comment ref="A32" authorId="1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 xml:space="preserve">  • Hyperscaler capex guidance raises (confirms demand trajectory)</t>
        </r>
      </text>
    </comment>
    <comment ref="A34" authorId="1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 xml:space="preserve">  • DRAM contract pricing rolls over (TrendForce monthly data turns negative)</t>
        </r>
      </text>
    </comment>
    <comment ref="A35" authorId="1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 xml:space="preserve">  • Samsung HBM4 qualified at NVIDIA (removes Micron's structural advantage)</t>
        </r>
      </text>
    </comment>
    <comment ref="A36" authorId="1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 xml:space="preserve">  • Hyperscaler capex guidance cuts &gt;15% (signals demand destruction)</t>
        </r>
      </text>
    </comment>
    <comment ref="A37" authorId="1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 xml:space="preserve">  • Inventory days exceed 140 (leading indicator of pricing pressure)</t>
        </r>
      </text>
    </comment>
    <comment ref="A40" authorId="2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Following +100% in Q1. No signs of stabilization per etnews. 'Today's price is cheapest.' Micron/SKH expected to match.</t>
        </r>
      </text>
    </comment>
    <comment ref="A41" authorId="2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Worst undersupply in 15+ years. 2.5% undersupply in CY2027. Meaningful capacity expansion not until late 2027-2028.</t>
        </r>
      </text>
    </comment>
    <comment ref="A42" authorId="2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SK Hynix: 3yr DDR5 LTA with MS (tens of trillions KRW). Samsung: 3-5yr LTAs with both. 10-30% upfront. Price floors.</t>
        </r>
      </text>
    </comment>
    <comment ref="A43" authorId="2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All consumer capacity redirected to AI data center. 'Selective concentration' per CBO Sadana.</t>
        </r>
      </text>
    </comment>
    <comment ref="A44" authorId="2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4-layer GDDR stack; equip H2-26, samples 2027. New product category between GDDR and HBM for inference workloads.</t>
        </r>
      </text>
    </comment>
    <comment ref="A46" authorId="3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SemiAnalysis: This cycle comparable to 1993 Windows PC supercycle. 'Not even close to peak.' DRAM density scaling slowed to 2x per decade (vs 100x historically) = structural supply constraint.</t>
        </r>
      </text>
    </comment>
    <comment ref="A47" authorId="3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Up from 8% in CY23/24. 4x increase. Combined top-8 CSP capex: $710B in CY2026. Memory is now THE largest cost item in AI infrastructure buildout.</t>
        </r>
      </text>
    </comment>
    <comment ref="A48" authorId="3" shapeId="0" xr:uid="{00000000-0006-0000-1000-00001B000000}">
      <text>
        <r>
          <rPr>
            <sz val="11"/>
            <color theme="1"/>
            <rFont val="Calibri"/>
            <family val="2"/>
            <scheme val="minor"/>
          </rPr>
          <t>SemiAnalysis forecast. DDR5 contract: $7-&gt;$19.50. Samsung 32GB DDR5: $149-&gt;$239. Another double-digit increase expected CY2027.</t>
        </r>
      </text>
    </comment>
    <comment ref="A49" authorId="3" shapeId="0" xr:uid="{00000000-0006-0000-1000-00001C000000}">
      <text>
        <r>
          <rPr>
            <sz val="11"/>
            <color theme="1"/>
            <rFont val="Calibri"/>
            <family val="2"/>
            <scheme val="minor"/>
          </rPr>
          <t>Intel CEO quote. New fabs: SKH Cheongju 2027, Samsung P5 2028, Micron Idaho H2-2027. Meaningful capacity expansion 18-24 months away.</t>
        </r>
      </text>
    </comment>
    <comment ref="A50" authorId="3" shapeId="0" xr:uid="{00000000-0006-0000-1000-00001D000000}">
      <text>
        <r>
          <rPr>
            <sz val="11"/>
            <color theme="1"/>
            <rFont val="Calibri"/>
            <family val="2"/>
            <scheme val="minor"/>
          </rPr>
          <t>New memory ETF launched; potential peak indicator. 1993 parallel: 50 fab announcements preceded oversupply. MONITOR: cancel-to-book ratios, inventory weeks, hyperscaler capex revisions.</t>
        </r>
      </text>
    </comment>
    <comment ref="A55" authorId="4" shapeId="0" xr:uid="{00000000-0006-0000-1000-00001E000000}">
      <text>
        <r>
          <rPr>
            <sz val="11"/>
            <color theme="1"/>
            <rFont val="Calibri"/>
            <family val="2"/>
            <scheme val="minor"/>
          </rPr>
          <t>Mehrotra FQ2-26: 'Some of our key customers, we are able to fulfill only 50% to two-thirds of their demand in the medium term.'</t>
        </r>
      </text>
    </comment>
    <comment ref="A56" authorId="4" shapeId="0" xr:uid="{00000000-0006-0000-1000-00001F000000}">
      <text>
        <r>
          <rPr>
            <sz val="11"/>
            <color theme="1"/>
            <rFont val="Calibri"/>
            <family val="2"/>
            <scheme val="minor"/>
          </rPr>
          <t>Mehrotra FQ2-26: 'Supply and demand expected to remain tight beyond calendar 2026.'</t>
        </r>
      </text>
    </comment>
    <comment ref="A57" authorId="4" shapeId="0" xr:uid="{00000000-0006-0000-1000-000020000000}">
      <text>
        <r>
          <rPr>
            <sz val="11"/>
            <color theme="1"/>
            <rFont val="Calibri"/>
            <family val="2"/>
            <scheme val="minor"/>
          </rPr>
          <t>Mehrotra FQ2-26: 'NAND demand significantly in excess of available supply for the foreseeable future.'</t>
        </r>
      </text>
    </comment>
    <comment ref="A58" authorId="4" shapeId="0" xr:uid="{00000000-0006-0000-1000-000021000000}">
      <text>
        <r>
          <rPr>
            <sz val="11"/>
            <color theme="1"/>
            <rFont val="Calibri"/>
            <family val="2"/>
            <scheme val="minor"/>
          </rPr>
          <t>Murphy FQ2-26: 5 reasons: (1) durable supply constraints, (2) memory more valuable to AI economics, (3) historic low inventories, (4) declining bits/wafer, (5) HBM trade ratios tighten commodity.</t>
        </r>
      </text>
    </comment>
    <comment ref="A59" authorId="4" shapeId="0" xr:uid="{00000000-0006-0000-1000-000022000000}">
      <text>
        <r>
          <rPr>
            <sz val="11"/>
            <color theme="1"/>
            <rFont val="Calibri"/>
            <family val="2"/>
            <scheme val="minor"/>
          </rPr>
          <t>Mehrotra FQ2-26: SCAs 'go across periods when the industry is very tight versus other parts of the industry environment.'</t>
        </r>
      </text>
    </comment>
    <comment ref="A60" authorId="4" shapeId="0" xr:uid="{00000000-0006-0000-1000-000023000000}">
      <text>
        <r>
          <rPr>
            <sz val="11"/>
            <color theme="1"/>
            <rFont val="Calibri"/>
            <family val="2"/>
            <scheme val="minor"/>
          </rPr>
          <t>Murphy FQ2-26: 'Return on capital exceeds 30%, headed towards 50%.'</t>
        </r>
      </text>
    </comment>
    <comment ref="A61" authorId="4" shapeId="0" xr:uid="{00000000-0006-0000-1000-000024000000}">
      <text>
        <r>
          <rPr>
            <sz val="11"/>
            <color theme="1"/>
            <rFont val="Calibri"/>
            <family val="2"/>
            <scheme val="minor"/>
          </rPr>
          <t>Mehrotra FQ2-26: 'On the cusp of a 20-year growth vector in robotics.'</t>
        </r>
      </text>
    </comment>
    <comment ref="A62" authorId="4" shapeId="0" xr:uid="{00000000-0006-0000-1000-000025000000}">
      <text>
        <r>
          <rPr>
            <sz val="11"/>
            <color theme="1"/>
            <rFont val="Calibri"/>
            <family val="2"/>
            <scheme val="minor"/>
          </rPr>
          <t>Murphy FQ2-26: FQ3 FCF expected to 'roughly double' from FQ2's $6.9B record (implies ~$13-14B).</t>
        </r>
      </text>
    </comment>
  </commentList>
</comments>
</file>

<file path=xl/sharedStrings.xml><?xml version="1.0" encoding="utf-8"?>
<sst xmlns="http://schemas.openxmlformats.org/spreadsheetml/2006/main" count="2033" uniqueCount="1642">
  <si>
    <t>MICRON TECHNOLOGY ($MU) — MODEL GUIDE</t>
  </si>
  <si>
    <t>HOW TO READ THIS MODEL</t>
  </si>
  <si>
    <t>Color Convention</t>
  </si>
  <si>
    <t>Meaning</t>
  </si>
  <si>
    <t>Example</t>
  </si>
  <si>
    <t>Blue font</t>
  </si>
  <si>
    <t>Hardcoded input — a number you can change</t>
  </si>
  <si>
    <t>Revenue: $23,860M</t>
  </si>
  <si>
    <t>Black font</t>
  </si>
  <si>
    <t>Formula — calculated from other cells, do not edit</t>
  </si>
  <si>
    <t>Gross Profit = Revenue - COGS</t>
  </si>
  <si>
    <t>Green font</t>
  </si>
  <si>
    <t>Cross-sheet link — pulls data from another tab</t>
  </si>
  <si>
    <t>Yellow highlight</t>
  </si>
  <si>
    <t>Key assumption — the inputs that matter most</t>
  </si>
  <si>
    <t>Gross Margin: 81%</t>
  </si>
  <si>
    <t>HOW THE MODEL FLOWS</t>
  </si>
  <si>
    <t>Step</t>
  </si>
  <si>
    <t>What Happens</t>
  </si>
  <si>
    <t>Where to Look</t>
  </si>
  <si>
    <t>1. Assumptions</t>
  </si>
  <si>
    <t>All inputs live here. Change any blue number and the entire model updates. Revenue, margins, pricing, capex, shares, scenarios — everything starts here.</t>
  </si>
  <si>
    <t>Assumptions tab, rows 7-48 (inputs), rows 55-72 (calculated outputs)</t>
  </si>
  <si>
    <t>2. Revenue Build</t>
  </si>
  <si>
    <t>Revenue is built from: Total Revenue x DRAM% = DRAM Revenue. DRAM x HBM% = HBM Revenue. Remainder = NAND. This shows WHERE revenue comes from.</t>
  </si>
  <si>
    <t>Assumptions rows 55-62. Also see Supply Model (fab capacity) and Bit Economics (wafer-level math).</t>
  </si>
  <si>
    <t>3. Income Statement</t>
  </si>
  <si>
    <t>Historical actuals (6 quarters) and projected estimates (6 quarters) flow from Assumptions. Revenue - COGS = Gross Profit. GP - OpEx = Operating Income. OI - Tax = Net Income. NI / Shares = EPS.</t>
  </si>
  <si>
    <t>Historical P&amp;L (actuals) and Projected P&amp;L (forecasts). All green-font cells trace back to Assumptions.</t>
  </si>
  <si>
    <t>4. Balance Sheet</t>
  </si>
  <si>
    <t>Tracks cash, debt, inventory, PP&amp;E over time. The key story: Micron went from net debt to $6.6B net cash in 3 quarters while spending $25B+ on capex.</t>
  </si>
  <si>
    <t>Balance Sheet &amp; CF tab. Cash flow section shows OCF, CapEx, FCF, buybacks, dividends, debt paydown.</t>
  </si>
  <si>
    <t>5. Valuation</t>
  </si>
  <si>
    <t>Multiple methods to answer: what is the stock worth? P/E multiples, DCF, EV/EBITDA, FCF yield, sum-of-parts. Each gives a different answer — the range IS the answer.</t>
  </si>
  <si>
    <t>Valuation tab (7 methods + sensitivity table), DCF tab (full discounted cash flow), ROIC Analysis (return on capital).</t>
  </si>
  <si>
    <t>6. Thesis</t>
  </si>
  <si>
    <t>Everything synthesizes into: BUY or SHORT? At what conviction? What are the risks? What would change our mind?</t>
  </si>
  <si>
    <t>Thesis Summary tab. Also Risks &amp; Catalysts for what could go wrong/right.</t>
  </si>
  <si>
    <t>TAB-BY-TAB GUIDE</t>
  </si>
  <si>
    <t>Tab</t>
  </si>
  <si>
    <t>What It Contains</t>
  </si>
  <si>
    <t>What to Look For</t>
  </si>
  <si>
    <t>Assumptions</t>
  </si>
  <si>
    <t>The control panel. Every input that drives the model: DRAM/NAND pricing growth rates, gross margin, R&amp;D/SG&amp;A as % of revenue, capex, buybacks, dividends, shares outstanding, tax rate. Also 4 valuation scenarios with probabilities, P/E multiples, and EPS paths. Rows 55-72 show the formulas that convert inputs into revenue, profits, and EPS.</t>
  </si>
  <si>
    <t>Row 47: Probability-weighted target price. Row 48: Implied upside/downside. Change ANY blue number and watch these update. Row 68: Quarterly EPS (the most important output).</t>
  </si>
  <si>
    <t>Historical P&amp;L</t>
  </si>
  <si>
    <t>Actual income statement for FQ1-25 through FQ2-26 (6 quarters) plus FY annual columns. Revenue split into DRAM/NAND. Gross profit, operating income, net income, EPS. Business unit revenue and margins at the bottom.</t>
  </si>
  <si>
    <t>Row 18: Gross margin trend (39.5% to 75.0% in 6 quarters — the supercycle in one number). Row 35: Non-GAAP EPS ($1.79 to $12.20). Row 38: HBM revenue estimates. Rows 49-55: BU margins show MCBU at 79% GM — highest in the company.</t>
  </si>
  <si>
    <t>Projected P&amp;L</t>
  </si>
  <si>
    <t>Forward income statement for FQ3-26E through FQ4-27E (6 projected quarters). All driven by Assumptions tab. FQ3-26E is guided: $33.5B revenue, 81% GM, $19.15 EPS. FY annual columns sum the quarters.</t>
  </si>
  <si>
    <t>Row 8: $33.5B single quarter exceeds entire FY2024 ($25.1B). Row 33: EPS path — $19.15 guided for FQ3, then normalization. Rows 37-40: Key forecast observations.</t>
  </si>
  <si>
    <t>Balance Sheet &amp; CF</t>
  </si>
  <si>
    <t>Balance sheet at 4 time points plus 2 projected. Cash flow statement showing OCF, capex, FCF. Capital return: buybacks (CHIPS Act-capped), dividends (30% increase), debt paydown ($4.37B in H1-FY26).</t>
  </si>
  <si>
    <t>Row 19: Net Debt/(Net Cash) — Micron crossed to net cash. Row 25: Free cash flow ($6.9B record in FQ2-26, guided to 'roughly double' in FQ3). Row 35: FY2026 capex &gt;$25B.</t>
  </si>
  <si>
    <t>Supply Model</t>
  </si>
  <si>
    <t>Physical fab map (10 fabs by geography/node/capacity). Node transition timeline (1-alpha through 1-delta). HBM wafer trade ratios. Industry supply/demand balance. Micron strategic shifts (Crucial exit, stacked GDDR, HBM4). SemiAnalysis key findings. HBM market share. New capacity timeline through 2030.</t>
  </si>
  <si>
    <t>Row 44: Supply/demand spread — negative means tight (prices rise). Rows 55-67: SemiAnalysis data (once-in-40yr shortage, memory = 30% of hyperscaler capex). Rows 71-73: HBM share — SK Hynix 62%, Micron 21%, Samsung 17%. Rows 77-83: No new capacity until 2027-2028.</t>
  </si>
  <si>
    <t>Bit Economics</t>
  </si>
  <si>
    <t>Bottom-up revenue decomposition: wafer starts x bits/wafer = output. HBM cannibalization (each HBM wafer removes 3-5x commodity DRAM supply). ASP/cost spread (THE margin driver). Yield curves by node. HBM stack unit P&amp;L (cost, ASP, margin per stack). Revenue per wafer comparison.</t>
  </si>
  <si>
    <t>Row 19: ASP/Cost Spread — above 2.0x = strong margins, below 1.0x = losses. Currently unprecedented. Rows 54-70: HBM stack economics show HBM4 at ~$1,800/stack ASP. Row 74: HBM4 generates 10x revenue per wafer vs commodity DDR5.</t>
  </si>
  <si>
    <t>HBM Contracts</t>
  </si>
  <si>
    <t>HBM TAM trajectory ($35B to $100B by 2028). Customer map (6 customers). Long-term supply agreements across industry. Contract structure types. Revenue lock-in estimate (~78%). 5-year SCA details. Post-settlement pricing model. Vera Rubin HBM4 allocation. OpenAI/Stargate deal.</t>
  </si>
  <si>
    <t>Row 8: Micron HBM revenue trajectory. Rows 30-34: Industry LTA map — MS/Google signing 3-5yr deals with ALL memory makers. Row 55: Vera Rubin — Micron EXCLUDED from flagship (key risk). Row 77: ~78% of forward revenue is locked in. Row 92-94: Post-settlement pricing means Micron captures 100% of price upside.</t>
  </si>
  <si>
    <t>Debt Schedule</t>
  </si>
  <si>
    <t>Individual debt tranches (9 instruments with coupons/maturities). Maturity wall. Interest expense build by tranche. Coverage ratios (EBITDA/interest). Refinancing risk assessment. Net debt trajectory to FY2028.</t>
  </si>
  <si>
    <t>Row 16: $10.1B total debt (down from $14.6B). Row 30: Net cash trajectory — heading to deep net cash by FY2028. Row 57: Quarterly interest only ~$100M (immaterial vs $30B+ revenue). Row 61: Interest coverage &gt;200x (essentially no credit risk).</t>
  </si>
  <si>
    <t>Working Capital</t>
  </si>
  <si>
    <t>Inventory decomposition (raw materials, WIP, finished goods). Days Inventory Outstanding — THE leading indicator of cycle turns. Cash Conversion Cycle. Historical DIO context table. Working capital intensity.</t>
  </si>
  <si>
    <t>Row 14: DIO — below 120 days = very tight (bullish). Above 140 = building (bearish). Currently ~123 days = strong demand pull. Rows 36-40: DIO cycle context table — tells you where we are in the memory cycle. Row 32: Cash Conversion Cycle.</t>
  </si>
  <si>
    <t>Share Count Bridge</t>
  </si>
  <si>
    <t>Basic shares + dilution (RSUs/options) - buybacks = diluted shares. Treasury stock method detail. RSU vesting schedule. Buyback capacity analysis. EPS sensitivity to share count.</t>
  </si>
  <si>
    <t>Row 9: Buyback acceleration post-Dec 2026 when CHIPS restrictions ease — shares retired jump from ~1M/qtr to 6-7M/qtr. Row 11: Diluted shares peak at 1,148M (FQ4-26E) then decline to 1,105M (FQ4-27E). Row 43: EPS sensitivity — every 10M shares = ~$0.40 EPS difference.</t>
  </si>
  <si>
    <t>DCF</t>
  </si>
  <si>
    <t>Full discounted cash flow model. WACC build (CAPM). 6-year explicit FCF projections. Terminal value (Gordon Growth). Enterprise-to-equity bridge. Sensitivity table (WACC vs terminal growth). Scenario DCFs. FCFE vs FCFF reconciliation. Football field summary. Beating the Tide $934 PT comparison.</t>
  </si>
  <si>
    <t>Row 14: WACC (~10.9%). Row 31: Unlevered FCF by year. Row 53: DCF fair value per share (~$520 base case). Rows 58-65: Sensitivity table — green cells are above current price, red below. Row 73: Probability-weighted DCF ~$490. Rows 89-97: Football field — 7 methods showing Low/Base/High range.</t>
  </si>
  <si>
    <t>Valuation</t>
  </si>
  <si>
    <t>7 valuation methodologies (LTM/NTM/FY27 P/E, Mid-Cycle P/E, EV/EBITDA, FCF yield, Sum-of-Parts). Scenario-weighted valuation with 4 scenarios. Back-solve (what market is pricing). EPS vs P/E sensitivity table. Consensus estimates. Analyst price targets.</t>
  </si>
  <si>
    <t>Row 17: Mid-Cycle P/E — the most important valuation for a cyclical. Row 28: Probability-weighted target. Rows 37-46: Sensitivity table — find $366 (current price) and see what EPS/multiple combination it implies. Rows 50-59: Street consensus. Rows 60-66: Every analyst price target.</t>
  </si>
  <si>
    <t>ROIC Analysis</t>
  </si>
  <si>
    <t>Return on Invested Capital through full cycle (FY23 trough to FY26 peak). DuPont decomposition (margin x turns). Incremental ROIC. Economic Value Added (EVA). Peer ROIC comparison.</t>
  </si>
  <si>
    <t>Row 20: ROIC — swings from -11% (FY23 trough) to ~80%+ (FY26 peak). This is WHY memory is the hardest sector to value. Row 22: ROIC-WACC spread — positive = creating value. Row 44: Incremental ROIC goes negative in FY27 — this is EXPECTED during cycle normalization, not a problem.</t>
  </si>
  <si>
    <t>Comps</t>
  </si>
  <si>
    <t>Side-by-side comparison: Micron vs SK Hynix vs Samsung. Financial metrics (rev, margins, multiples) and technology positioning (DRAM node, NAND layers, HBM gen, market share).</t>
  </si>
  <si>
    <t>Row 5: Market caps for context. Row 8: GM comparison — Micron 74.5% vs SKH 58% vs Samsung 58% (Micron leading). Row 18-24: Technology comparison — Micron has 1-gamma (most advanced DRAM node) and HBM4 first-mover.</t>
  </si>
  <si>
    <t>Risks &amp; Catalysts</t>
  </si>
  <si>
    <t>8 quantified risks with probability, EPS impact, monitoring signals, and mitigants. Dated catalyst calendar. 5 new catalysts from April intelligence. 5 SemiAnalysis contrarian signals.</t>
  </si>
  <si>
    <t>Rows 5-12: Each risk has a probability and EPS impact — this is how you SIZE a position. Row 6: Taiwan Strait = 8% probability but -30-40% EPS impact (tail risk). Rows 47-51: Critical new risks — Vera Rubin exclusion (60% probability), TurboQuant (20%, but 2028+ timeline). Rows 39-43: Contrarian peak signals to watch.</t>
  </si>
  <si>
    <t>Thesis Summary</t>
  </si>
  <si>
    <t>The 2-minute executive summary. BUY/SHORT recommendation. Probability-weighted target price and upside. Variant perception (where we differ from consensus). 4 scenario descriptions. Capital return status. Monitoring signals (upgrade/cut triggers). Latest intelligence.</t>
  </si>
  <si>
    <t>Row 3: The answer — BUY, HIGH CONVICTION. Row 4-5: Target and upside. Rows 8-10: Variant perception — this is where the ALPHA comes from. Rows 28-37: What would make us upgrade or cut the position.</t>
  </si>
  <si>
    <t>SLIDE DECK MAP</t>
  </si>
  <si>
    <t>Use this to build your pitch deck. Each slide maps to specific model sections.</t>
  </si>
  <si>
    <t>Slide</t>
  </si>
  <si>
    <t>What Goes On It</t>
  </si>
  <si>
    <t>Pull Data From</t>
  </si>
  <si>
    <t>1. Company Overview</t>
  </si>
  <si>
    <t>What Micron does: #3 global memory maker (DRAM + NAND + HBM). Key stats: $106B FY26E revenue, 1,142M shares, $366 stock price. Market position: oligopoly (Samsung 38%, SK Hynix 33%, Micron 23% DRAM share).</t>
  </si>
  <si>
    <t>Comps tab rows 5-13. Assumptions row 55 (revenue). Thesis Summary row 3.</t>
  </si>
  <si>
    <t>2. Industry Overview</t>
  </si>
  <si>
    <t>Memory industry structure: DRAM oligopoly, NAND more fragmented. AI driving structural shift: HBM TAM $35B (CY25) to $100B (CY28). Memory = 30% of hyperscaler capex (was 8% in CY23). Once-in-40-year shortage per SemiAnalysis.</t>
  </si>
  <si>
    <t>Supply Model rows 40-44 (S/D balance), 55-67 (SemiAnalysis data). HBM Contracts rows 4-8 (TAM). Comps rows 16-24 (tech positioning).</t>
  </si>
  <si>
    <t>3. Investment Thesis</t>
  </si>
  <si>
    <t>BUY at $366. Probability-weighted target ~$554 (51% upside). 3 variant perceptions: (1) supply constraint duration, (2) revenue quality transformation, (3) deleveraging pace. Key stat: FQ3-26E single quarter = $33.5B &gt; entire FY2024.</t>
  </si>
  <si>
    <t>Thesis Summary rows 3-10. Assumptions rows 47-48 (target/upside). Projected P&amp;L row 8 (FQ3 guide).</t>
  </si>
  <si>
    <t>4. Revenue Deep Dive</t>
  </si>
  <si>
    <t>Revenue decomposition: DRAM 79%, NAND 21%. HBM ~32% of DRAM and growing. Revenue by BU: CMBU 32%, MCBU 32%, CDBU 24%, AEBU 11%. Revenue QoQ: +75% in FQ2-26. Crucial consumer exit redirecting capacity to AI.</t>
  </si>
  <si>
    <t>Historical P&amp;L rows 8-13, 43-47. Bit Economics rows 4-24 (bit-level decomposition). HBM Contracts rows 10-18 (customer map).</t>
  </si>
  <si>
    <t>5. Margin Analysis</t>
  </si>
  <si>
    <t>Gross margin: 39.5% to 75.0% in 6 quarters (to 81% guided). Why: ASP/cost spread at historic high. ASP +65% QoQ while cost/bit declining 7%. Structural argument: 5 reasons margins stay higher (from CFO Murphy).</t>
  </si>
  <si>
    <t>Assumptions row 15 (GM trend). Historical P&amp;L row 18 (GM), rows 49-55 (BU margins). Bit Economics row 19 (ASP/cost spread). Working Capital rows 14, 36-40 (DIO cycle context).</t>
  </si>
  <si>
    <t>6. HBM &amp; Contracts</t>
  </si>
  <si>
    <t>HBM: the game-changer. 100% of CY2026 committed. First 5-year SCA signed. ~78% of revenue locked in. Industry shifting from spot to contracted: price floors, prepayments, take-or-pay. Post-settlement pricing captures 100% upside.</t>
  </si>
  <si>
    <t>HBM Contracts (entire tab). Key rows: 8 (revenue), 30-34 (industry LTAs), 63-69 (contract types), 77 (lock-in estimate), 81-89 (SCA details).</t>
  </si>
  <si>
    <t>7. Valuation</t>
  </si>
  <si>
    <t>7 methodologies all pointing to $450-550 range. DCF: ~$520 base case. P/E: 12x on $48 FY27 consensus = $576. Football field: $250-$760 range. Sensitivity table: color-coded grid. Consensus: 38 Buy / 0 Sell, avg PT $492.</t>
  </si>
  <si>
    <t>Valuation tab rows 13-20, 24-29, 37-46. DCF tab rows 53, 73, 89-97. Assumptions rows 47-48.</t>
  </si>
  <si>
    <t>8. Capital Allocation</t>
  </si>
  <si>
    <t>CapEx: $25B+ FY26 (rising to $35B+ FY27). CHIPS Act: $6.4B in grants. Buybacks: capped by CHIPS until Dec 2026, then acceleration to ~$10B/yr. Dividend: 30% increase. Debt: $4.37B paid down in H1-FY26. Net cash: $6.6B.</t>
  </si>
  <si>
    <t>Assumptions rows 22-26. Balance Sheet &amp; CF rows 23-31. Share Count Bridge rows 6-11, 16-22. Debt Schedule rows 16, 30.</t>
  </si>
  <si>
    <t>9. Risks &amp; Catalysts</t>
  </si>
  <si>
    <t>Top risks: Vera Rubin HBM4 exclusion (60% prob), TurboQuant (20% but 2028+), hyperscaler capex cliff (15%), tariffs (30% but largely exempt). Catalysts: FQ3 earnings (Jun 26), CHIPS buyback easing (Dec 26), Samsung/Google LTAs.</t>
  </si>
  <si>
    <t>Risks &amp; Catalysts (entire tab). Key rows: 5-12 (risk matrix), 17-27 (catalyst calendar), 47-51 (critical new risks). Supply Model rows 55-73 (HBM share allocation).</t>
  </si>
  <si>
    <t>10. Scenario Analysis</t>
  </si>
  <si>
    <t>4 scenarios: Bull ($960), Base ($576), Bear ($240), Hard Landing ($72). Probability-weighted: ~$554. Each scenario has distinct EPS path, margin trajectory, and appropriate P/E multiple. BofA models FY28 EPS declining to $29 = explicit cycle downturn.</t>
  </si>
  <si>
    <t>Assumptions rows 30-45. Valuation rows 24-29. DCF rows 69-73 (scenario DCFs). ROIC Analysis rows 44-45 (incremental ROIC shows cycle norm is expected).</t>
  </si>
  <si>
    <t>QUICK REFERENCE — KEY NUMBERS</t>
  </si>
  <si>
    <t>Metric</t>
  </si>
  <si>
    <t>Value</t>
  </si>
  <si>
    <t>Context</t>
  </si>
  <si>
    <t>Stock Price</t>
  </si>
  <si>
    <t>$366</t>
  </si>
  <si>
    <t>Post-22% sell-off from $471 ATH</t>
  </si>
  <si>
    <t>FQ2-26 Revenue</t>
  </si>
  <si>
    <t>$23.86B</t>
  </si>
  <si>
    <t>+196% YoY, 4th consecutive record</t>
  </si>
  <si>
    <t>FQ3-26E Revenue (guided)</t>
  </si>
  <si>
    <t>$33.5B</t>
  </si>
  <si>
    <t>Single quarter &gt; entire FY2024</t>
  </si>
  <si>
    <t>FQ2-26 Gross Margin</t>
  </si>
  <si>
    <t>75.0%</t>
  </si>
  <si>
    <t>FQ3-26E guided to 81%</t>
  </si>
  <si>
    <t>FQ2-26 EPS (non-GAAP)</t>
  </si>
  <si>
    <t>$12.20</t>
  </si>
  <si>
    <t>Beat consensus $9.31 by 31%</t>
  </si>
  <si>
    <t>FY2026E Revenue</t>
  </si>
  <si>
    <t>~$106B</t>
  </si>
  <si>
    <t>+183% YoY</t>
  </si>
  <si>
    <t>FY2027E EPS (consensus)</t>
  </si>
  <si>
    <t>$48.07</t>
  </si>
  <si>
    <t>Range: $28-$80</t>
  </si>
  <si>
    <t>Prob-Weighted Target</t>
  </si>
  <si>
    <t>~$554</t>
  </si>
  <si>
    <t>51% upside to current</t>
  </si>
  <si>
    <t>Analyst Consensus</t>
  </si>
  <si>
    <t>38 Buy / 0 Sell</t>
  </si>
  <si>
    <t>Avg PT: $492</t>
  </si>
  <si>
    <t>HBM TAM (CY2028)</t>
  </si>
  <si>
    <t>$100B</t>
  </si>
  <si>
    <t>Pulled forward 2 years</t>
  </si>
  <si>
    <t>Revenue Lock-In</t>
  </si>
  <si>
    <t>~78%</t>
  </si>
  <si>
    <t>Contracted + committed</t>
  </si>
  <si>
    <t>DRAM Undersupply (CY2026)</t>
  </si>
  <si>
    <t>4.9%</t>
  </si>
  <si>
    <t>Worst in 15+ years per Goldman</t>
  </si>
  <si>
    <t>Model as of April 5, 2026. All data from public SEC filings, management disclosures, and third-party research.</t>
  </si>
  <si>
    <t>Sources: Micron 10-Q/10-K, earnings call transcripts, TrendForce, SemiAnalysis, Goldman Sachs, analyst reports.</t>
  </si>
  <si>
    <t>NOT INVESTMENT ADVICE. FOR ANALYTICAL AND EDUCATIONAL PURPOSES ONLY.</t>
  </si>
  <si>
    <t>MICRON TECHNOLOGY ($MU) — INVESTMENT MODEL ASSUMPTIONS</t>
  </si>
  <si>
    <t>As of April 5, 2026 | Fiscal Year Ends Late August</t>
  </si>
  <si>
    <t>Blue = hardcoded input</t>
  </si>
  <si>
    <t>Black = formula</t>
  </si>
  <si>
    <t>Green = cross-sheet link</t>
  </si>
  <si>
    <t>Yellow highlight = key assumption</t>
  </si>
  <si>
    <t>FQ1-25</t>
  </si>
  <si>
    <t>FQ2-25</t>
  </si>
  <si>
    <t>FQ3-25</t>
  </si>
  <si>
    <t>FQ4-25</t>
  </si>
  <si>
    <t>FQ1-26</t>
  </si>
  <si>
    <t>FQ2-26</t>
  </si>
  <si>
    <t>FQ3-26E</t>
  </si>
  <si>
    <t>FQ4-26E</t>
  </si>
  <si>
    <t>FQ1-27E</t>
  </si>
  <si>
    <t>FQ2-27E</t>
  </si>
  <si>
    <t>FQ3-27E</t>
  </si>
  <si>
    <t>FQ4-27E</t>
  </si>
  <si>
    <t>A</t>
  </si>
  <si>
    <t>E</t>
  </si>
  <si>
    <t>REVENUE &amp; PRICING ASSUMPTIONS</t>
  </si>
  <si>
    <t>DRAM ASP Change QoQ (%)</t>
  </si>
  <si>
    <t>NAND ASP Change QoQ (%)</t>
  </si>
  <si>
    <t>DRAM % of Total Revenue</t>
  </si>
  <si>
    <t>HBM ASP Premium (x)</t>
  </si>
  <si>
    <t>HBM % of DRAM Revenue</t>
  </si>
  <si>
    <t>Samsung DRAM Pricing (ref)</t>
  </si>
  <si>
    <t>N/A</t>
  </si>
  <si>
    <t>COST &amp; MARGIN ASSUMPTIONS</t>
  </si>
  <si>
    <t>Gross Margin (%)</t>
  </si>
  <si>
    <t>DRAM Cost/Bit Decline QoQ</t>
  </si>
  <si>
    <t>R&amp;D as % of Revenue</t>
  </si>
  <si>
    <t>SG&amp;A as % of Revenue</t>
  </si>
  <si>
    <t>Effective Tax Rate</t>
  </si>
  <si>
    <t>CAPEX &amp; CAPITAL ALLOCATION</t>
  </si>
  <si>
    <t>Gross CapEx ($B)</t>
  </si>
  <si>
    <t>CHIPS Act Grant Offsets ($B)</t>
  </si>
  <si>
    <t>Share Buybacks ($M)</t>
  </si>
  <si>
    <t>Dividend per Share ($)</t>
  </si>
  <si>
    <t>Diluted Shares Outstanding (M)</t>
  </si>
  <si>
    <t>VALUATION &amp; SCENARIO ASSUMPTIONS</t>
  </si>
  <si>
    <t>Current Share Price ($)</t>
  </si>
  <si>
    <t>Scenario: AI Supercycle (Bull)</t>
  </si>
  <si>
    <t>Scenario: Steady Growth (Base)</t>
  </si>
  <si>
    <t>Scenario: Cyclical Correction (Bear)</t>
  </si>
  <si>
    <t>Scenario: Hard Landing</t>
  </si>
  <si>
    <t>Probability Sum (must = 100%)</t>
  </si>
  <si>
    <t>P/E Multiple: AI Supercycle</t>
  </si>
  <si>
    <t>P/E Multiple: Steady Growth</t>
  </si>
  <si>
    <t>P/E Multiple: Cyclical Correction</t>
  </si>
  <si>
    <t>P/E Multiple: Hard Landing</t>
  </si>
  <si>
    <t>SCENARIO EPS PATHS (FY2027E NTM EPS)</t>
  </si>
  <si>
    <t>FY2027E EPS: AI Supercycle</t>
  </si>
  <si>
    <t>FY2027E EPS: Steady Growth</t>
  </si>
  <si>
    <t>FY2027E EPS: Cyclical Correction</t>
  </si>
  <si>
    <t>FY2027E EPS: Hard Landing</t>
  </si>
  <si>
    <t>PROBABILITY-WEIGHTED TARGET PRICE</t>
  </si>
  <si>
    <t>Implied Upside / (Downside) to Current</t>
  </si>
  <si>
    <t>REFERENCE NOTES</t>
  </si>
  <si>
    <t>Tariff Impact</t>
  </si>
  <si>
    <t>Circular References</t>
  </si>
  <si>
    <t>None</t>
  </si>
  <si>
    <t>Bit Shipment Data</t>
  </si>
  <si>
    <t>In comment</t>
  </si>
  <si>
    <t>QUARTERLY REVENUE ($M)</t>
  </si>
  <si>
    <t>Total Revenue</t>
  </si>
  <si>
    <t>FY2025 Revenue</t>
  </si>
  <si>
    <t>FY2027E Revenue</t>
  </si>
  <si>
    <t>DRAM Revenue</t>
  </si>
  <si>
    <t>NAND Revenue</t>
  </si>
  <si>
    <t>HBM Revenue</t>
  </si>
  <si>
    <t>Gross Profit</t>
  </si>
  <si>
    <t>R&amp;D Expense</t>
  </si>
  <si>
    <t>SG&amp;A Expense</t>
  </si>
  <si>
    <t>Operating Income</t>
  </si>
  <si>
    <t>Net Income (approx)</t>
  </si>
  <si>
    <t>EPS (approx)</t>
  </si>
  <si>
    <t>FY2026E EPS</t>
  </si>
  <si>
    <t>FY2027E EPS</t>
  </si>
  <si>
    <t>Net CapEx ($B)</t>
  </si>
  <si>
    <t>MICRON TECHNOLOGY — HISTORICAL INCOME STATEMENT</t>
  </si>
  <si>
    <t>All figures in $M unless noted | Source: Micron 10-Q/10-K filings</t>
  </si>
  <si>
    <t>FQ1-25
Nov 2024</t>
  </si>
  <si>
    <t>FQ2-25
Feb 2025</t>
  </si>
  <si>
    <t>FQ3-25
May 2025</t>
  </si>
  <si>
    <t>FQ4-25
Aug 2025</t>
  </si>
  <si>
    <t>FQ1-26
Nov 2025</t>
  </si>
  <si>
    <t>FQ2-26
Feb 2026</t>
  </si>
  <si>
    <t>FY2025</t>
  </si>
  <si>
    <t>FY2026
(H1)</t>
  </si>
  <si>
    <t>ACTUAL</t>
  </si>
  <si>
    <t>REVENUE</t>
  </si>
  <si>
    <t xml:space="preserve">  Revenue QoQ (%)</t>
  </si>
  <si>
    <t xml:space="preserve">  DRAM Revenue</t>
  </si>
  <si>
    <t xml:space="preserve">  NAND Revenue</t>
  </si>
  <si>
    <t xml:space="preserve">  Other Revenue</t>
  </si>
  <si>
    <t xml:space="preserve">  DRAM % of Revenue</t>
  </si>
  <si>
    <t>PROFITABILITY</t>
  </si>
  <si>
    <t>COGS</t>
  </si>
  <si>
    <t>Research &amp; Development</t>
  </si>
  <si>
    <t>Selling, General &amp; Admin</t>
  </si>
  <si>
    <t>Total Operating Expenses</t>
  </si>
  <si>
    <t>Operating Margin (%)</t>
  </si>
  <si>
    <t>Interest Expense, net</t>
  </si>
  <si>
    <t>Other Income / (Expense)</t>
  </si>
  <si>
    <t>Pre-Tax Income</t>
  </si>
  <si>
    <t>Income Tax Provision</t>
  </si>
  <si>
    <t>NET INCOME (GAAP)</t>
  </si>
  <si>
    <t>GAAP EPS (Diluted)</t>
  </si>
  <si>
    <t>Non-GAAP EPS (Diluted)</t>
  </si>
  <si>
    <t>MEMO ITEMS</t>
  </si>
  <si>
    <t>HBM Revenue (est. $M)</t>
  </si>
  <si>
    <t>HBM as % of DRAM Revenue</t>
  </si>
  <si>
    <t>D&amp;A (est. $M)</t>
  </si>
  <si>
    <t>EBITDA</t>
  </si>
  <si>
    <t>REVENUE BY BUSINESS UNIT</t>
  </si>
  <si>
    <t>Cloud Memory BU (CMBU)</t>
  </si>
  <si>
    <t>Mobile &amp; Client BU (MCBU)</t>
  </si>
  <si>
    <t>Core Data Center BU (CDBU)</t>
  </si>
  <si>
    <t>Automotive &amp; Embedded BU (AEBU)</t>
  </si>
  <si>
    <t>BU GROSS MARGINS (%)</t>
  </si>
  <si>
    <t>CMBU</t>
  </si>
  <si>
    <t>MCBU</t>
  </si>
  <si>
    <t>CDBU</t>
  </si>
  <si>
    <t>AEBU</t>
  </si>
  <si>
    <t>Non-HBM margins &gt; HBM margins</t>
  </si>
  <si>
    <t>MICRON TECHNOLOGY — PROJECTED INCOME STATEMENT</t>
  </si>
  <si>
    <t>All figures in $M unless noted | Base case scenario</t>
  </si>
  <si>
    <t>FQ3-26E
Mar-May</t>
  </si>
  <si>
    <t>FQ4-26E
Jun-Aug</t>
  </si>
  <si>
    <t>FQ1-27E
Sep-Nov</t>
  </si>
  <si>
    <t>FQ2-27E
Dec-Feb</t>
  </si>
  <si>
    <t>FQ3-27E
Mar-May</t>
  </si>
  <si>
    <t>FQ4-27E
Jun-Aug</t>
  </si>
  <si>
    <t>FY2026E</t>
  </si>
  <si>
    <t>FY2027E</t>
  </si>
  <si>
    <t>ESTIMATE</t>
  </si>
  <si>
    <t xml:space="preserve">  HBM Revenue (memo, $M)</t>
  </si>
  <si>
    <t>Other Income</t>
  </si>
  <si>
    <t>Tax Provision (15.1%)</t>
  </si>
  <si>
    <t>NET INCOME</t>
  </si>
  <si>
    <t>FY Revenue YoY (%)</t>
  </si>
  <si>
    <t>KEY FORECAST OBSERVATIONS</t>
  </si>
  <si>
    <t>• FQ3-26E single quarter revenue ($33.5B) exceeds entire FY2024 ($25.1B)</t>
  </si>
  <si>
    <t>• FY2026E EPS trajectory implies &gt;4x FY2025 EPS of $8.29</t>
  </si>
  <si>
    <t>• Base case assumes orderly margin normalization from 81% peak to 63% floor over 6 quarters</t>
  </si>
  <si>
    <t>MICRON TECHNOLOGY — BALANCE SHEET &amp; CASH FLOW</t>
  </si>
  <si>
    <t>All figures in $M | Source: Micron 10-Q/10-K filings</t>
  </si>
  <si>
    <t>FQ3-26E
May 2026</t>
  </si>
  <si>
    <t>FQ4-26E
Aug 2026</t>
  </si>
  <si>
    <t>ASSETS</t>
  </si>
  <si>
    <t>Cash &amp; Cash Equivalents</t>
  </si>
  <si>
    <t>Short-Term Investments</t>
  </si>
  <si>
    <t>Total Cash &amp; Investments</t>
  </si>
  <si>
    <t>Inventory</t>
  </si>
  <si>
    <t>PP&amp;E, net</t>
  </si>
  <si>
    <t>Total Assets</t>
  </si>
  <si>
    <t>LIABILITIES &amp; EQUITY</t>
  </si>
  <si>
    <t>Total Debt</t>
  </si>
  <si>
    <t>Total Equity</t>
  </si>
  <si>
    <t>KEY BALANCE SHEET RATIOS</t>
  </si>
  <si>
    <t>Net Debt / (Net Cash)</t>
  </si>
  <si>
    <t>CASH FLOW SUMMARY</t>
  </si>
  <si>
    <t>Operating Cash Flow</t>
  </si>
  <si>
    <t>Capital Expenditures</t>
  </si>
  <si>
    <t>Free Cash Flow</t>
  </si>
  <si>
    <t>FCF Margin (%)</t>
  </si>
  <si>
    <t>CAPITAL RETURN</t>
  </si>
  <si>
    <t>Share Buybacks</t>
  </si>
  <si>
    <t>Dividends Paid</t>
  </si>
  <si>
    <t>Debt Paydown</t>
  </si>
  <si>
    <t>KEY CASH FLOW METRICS</t>
  </si>
  <si>
    <t>CapEx Intensity (CapEx/Rev)</t>
  </si>
  <si>
    <t>FY2026E Gross CapEx ($M)</t>
  </si>
  <si>
    <t>MICRON TECHNOLOGY — FAB-LEVEL SUPPLY MODEL</t>
  </si>
  <si>
    <t>Maps physical wafer capacity → bit output → revenue potential</t>
  </si>
  <si>
    <t>Fab Location</t>
  </si>
  <si>
    <t>Product Type</t>
  </si>
  <si>
    <t>Current Node</t>
  </si>
  <si>
    <t>Wafer Starts
(K/month)</t>
  </si>
  <si>
    <t>Target Node
(CY2026)</t>
  </si>
  <si>
    <t>Target Node
(CY2027)</t>
  </si>
  <si>
    <t>Bits/Wafer
Improvement</t>
  </si>
  <si>
    <t>Notes / Risk</t>
  </si>
  <si>
    <t>Boise, Idaho (existing)</t>
  </si>
  <si>
    <t>DRAM</t>
  </si>
  <si>
    <t>1-beta</t>
  </si>
  <si>
    <t>1-gamma</t>
  </si>
  <si>
    <t>+30%</t>
  </si>
  <si>
    <t>Primary U.S. DRAM site; 1-gamma ramp H1-2026</t>
  </si>
  <si>
    <t>Hiroshima, Japan</t>
  </si>
  <si>
    <t>DRAM (EUV)</t>
  </si>
  <si>
    <t>1-delta prep</t>
  </si>
  <si>
    <t>+30% (done)</t>
  </si>
  <si>
    <t>First EUV fab; 1-gamma volume production; fastest yield ramp in history per mgmt</t>
  </si>
  <si>
    <t>Taiwan (Taichung)</t>
  </si>
  <si>
    <t>1-beta/1-gamma</t>
  </si>
  <si>
    <t>RISK: Taiwan Strait geopolitical; ~25% of DRAM bit output</t>
  </si>
  <si>
    <t>Taiwan (Tongluo, acquired)</t>
  </si>
  <si>
    <t>Under equip.</t>
  </si>
  <si>
    <t>Equipment install</t>
  </si>
  <si>
    <t>1-gamma qual</t>
  </si>
  <si>
    <t>Acquired site; cleanroom construction CapEx; volume 2028+</t>
  </si>
  <si>
    <t>Singapore</t>
  </si>
  <si>
    <t>NAND + HBM pkg</t>
  </si>
  <si>
    <t>232L/300L</t>
  </si>
  <si>
    <t>300L NAND</t>
  </si>
  <si>
    <t>300L+</t>
  </si>
  <si>
    <t>+20%</t>
  </si>
  <si>
    <t>Advanced HBM packaging facility; HBM supply contribution CY2027 per mgmt</t>
  </si>
  <si>
    <t>Manassas, Virginia</t>
  </si>
  <si>
    <t>DRAM (legacy)</t>
  </si>
  <si>
    <t>1-alpha</t>
  </si>
  <si>
    <t>$275M CHIPS PMT; onshoring legacy DRAM for defense/auto</t>
  </si>
  <si>
    <t>Idaho Fab 1 (NEW)</t>
  </si>
  <si>
    <t>Construction</t>
  </si>
  <si>
    <t>Tool install</t>
  </si>
  <si>
    <t>Wafer output H2-2027</t>
  </si>
  <si>
    <t>Under construction; part of $150B 20-yr Idaho investment; wafer out H2-2027</t>
  </si>
  <si>
    <t>New York (Clay) Fab 1</t>
  </si>
  <si>
    <t>Planning</t>
  </si>
  <si>
    <t>Construction start late 2026</t>
  </si>
  <si>
    <t>Vertical 2027</t>
  </si>
  <si>
    <t>$3.4B CHIPS grant allocation (reduced from $4.6B); online ~2030</t>
  </si>
  <si>
    <t>India (Sanand, Gujarat)</t>
  </si>
  <si>
    <t>ATMP only</t>
  </si>
  <si>
    <t>N/A (packaging)</t>
  </si>
  <si>
    <t>14M units/wk ramp</t>
  </si>
  <si>
    <t>Full capacity</t>
  </si>
  <si>
    <t>$2.75B ATMP facility; production started Feb 2026; HBM module packaging</t>
  </si>
  <si>
    <t>Malaysia</t>
  </si>
  <si>
    <t>ATMP</t>
  </si>
  <si>
    <t>Ongoing</t>
  </si>
  <si>
    <t>Assembly/test/packaging; supports all product lines</t>
  </si>
  <si>
    <t>NODE TRANSITION MIX (% of DRAM bit output)</t>
  </si>
  <si>
    <t>Node</t>
  </si>
  <si>
    <t>CQ1-26</t>
  </si>
  <si>
    <t>CQ2-26</t>
  </si>
  <si>
    <t>CQ3-26</t>
  </si>
  <si>
    <t>CQ4-26</t>
  </si>
  <si>
    <t>CQ1-27</t>
  </si>
  <si>
    <t>CQ2-27</t>
  </si>
  <si>
    <t>CQ3-27</t>
  </si>
  <si>
    <t>CQ4-27</t>
  </si>
  <si>
    <t>1-alpha (legacy)</t>
  </si>
  <si>
    <t>1-gamma (EUV)</t>
  </si>
  <si>
    <t>1-delta (EUV, next gen)</t>
  </si>
  <si>
    <t>COST-PER-BIT IMPROVEMENT BY NODE</t>
  </si>
  <si>
    <t>Node Transition</t>
  </si>
  <si>
    <t>Cost/Bit Improvement</t>
  </si>
  <si>
    <t>Key Technology</t>
  </si>
  <si>
    <t>Risk Factor</t>
  </si>
  <si>
    <t>1-alpha → 1-beta</t>
  </si>
  <si>
    <t>15-18%</t>
  </si>
  <si>
    <t>DUV litho optimization</t>
  </si>
  <si>
    <t>Low — mature transition</t>
  </si>
  <si>
    <t>1-beta → 1-gamma</t>
  </si>
  <si>
    <t>18-22%</t>
  </si>
  <si>
    <t>First EUV layer introduction</t>
  </si>
  <si>
    <t>Medium — EUV yield ramp; FASTEST ramp in MU history</t>
  </si>
  <si>
    <t>1-gamma → 1-delta</t>
  </si>
  <si>
    <t>15-20% (est.)</t>
  </si>
  <si>
    <t>Multi-layer EUV; High-NA EUV potential</t>
  </si>
  <si>
    <t>High — EUV cost overrun risk; timeline uncertain</t>
  </si>
  <si>
    <t>HBM WAFER ALLOCATION &amp; TRADE RATIO</t>
  </si>
  <si>
    <t>HBM Generation</t>
  </si>
  <si>
    <t>Stack Height</t>
  </si>
  <si>
    <t>Capacity/Stack</t>
  </si>
  <si>
    <t>Trade Ratio
(vs DDR5)</t>
  </si>
  <si>
    <t>Per-Die Yield</t>
  </si>
  <si>
    <t>Stack Yield</t>
  </si>
  <si>
    <t>Volume Status</t>
  </si>
  <si>
    <t>HBM3E</t>
  </si>
  <si>
    <t>8-High</t>
  </si>
  <si>
    <t>24 GB</t>
  </si>
  <si>
    <t>3.0x</t>
  </si>
  <si>
    <t>95%</t>
  </si>
  <si>
    <t>66%</t>
  </si>
  <si>
    <t>Full volume; majority of CY2025 shipments</t>
  </si>
  <si>
    <t>HBM3E 12-High</t>
  </si>
  <si>
    <t>12-High</t>
  </si>
  <si>
    <t>36 GB</t>
  </si>
  <si>
    <t>4.5x</t>
  </si>
  <si>
    <t>54%</t>
  </si>
  <si>
    <t>Volume shipping; dominant in FQ2-26</t>
  </si>
  <si>
    <t>HBM4 12-High</t>
  </si>
  <si>
    <t>4.8x</t>
  </si>
  <si>
    <t>92%</t>
  </si>
  <si>
    <t>38%</t>
  </si>
  <si>
    <t>Volume shipments began CQ1-2026; &gt;60% BW vs HBM3E</t>
  </si>
  <si>
    <t>HBM4 16-High</t>
  </si>
  <si>
    <t>16-High</t>
  </si>
  <si>
    <t>48 GB</t>
  </si>
  <si>
    <t>6.0x</t>
  </si>
  <si>
    <t>90%</t>
  </si>
  <si>
    <t>19%</t>
  </si>
  <si>
    <t>Sampled; yield is key challenge</t>
  </si>
  <si>
    <t>HBM4E</t>
  </si>
  <si>
    <t>12/16-High</t>
  </si>
  <si>
    <t>48-64 GB</t>
  </si>
  <si>
    <t>5.5x (est.)</t>
  </si>
  <si>
    <t>TBD</t>
  </si>
  <si>
    <t>In development; volume ramp CY2027</t>
  </si>
  <si>
    <t>Stack Yield Formula:</t>
  </si>
  <si>
    <t>e.g., 95%^8 = 66%, 95%^12 = 54%, 92%^12 = 38%</t>
  </si>
  <si>
    <t>INDUSTRY DRAM SUPPLY/DEMAND BALANCE</t>
  </si>
  <si>
    <t>CY2024</t>
  </si>
  <si>
    <t>CY2025</t>
  </si>
  <si>
    <t>CY2026E</t>
  </si>
  <si>
    <t>CY2027E</t>
  </si>
  <si>
    <t>Industry DRAM Bit Supply Growth</t>
  </si>
  <si>
    <t>Industry DRAM Bit Demand Growth</t>
  </si>
  <si>
    <t>Supply/Demand Spread (- = tight)</t>
  </si>
  <si>
    <t>MICRON STRATEGIC SHIFTS (2026)</t>
  </si>
  <si>
    <t>Initiative</t>
  </si>
  <si>
    <t>Timeline</t>
  </si>
  <si>
    <t>Impact</t>
  </si>
  <si>
    <t>Source</t>
  </si>
  <si>
    <t>Crucial consumer exit</t>
  </si>
  <si>
    <t>By FQ2-26 (done)</t>
  </si>
  <si>
    <t>All consumer DRAM/SSD capacity redirected to AI data center</t>
  </si>
  <si>
    <t>Micron CBO Sadana, 12/4/25. etnews.</t>
  </si>
  <si>
    <t>Stacked GDDR development</t>
  </si>
  <si>
    <t>Equip H2-26; samples 2027</t>
  </si>
  <si>
    <t>Industry-first 4-layer GDDR stack; perf between DDR5 and HBM</t>
  </si>
  <si>
    <t>etnews 3/30/26. Preemptive vs Samsung/SKH.</t>
  </si>
  <si>
    <t>HBM4 volume production</t>
  </si>
  <si>
    <t>CQ1-2026 (shipping)</t>
  </si>
  <si>
    <t>&gt;60% BW vs HBM3E; designed for NVIDIA Vera Rubin</t>
  </si>
  <si>
    <t>FQ2-26 earnings 3/18/26.</t>
  </si>
  <si>
    <t>Singapore HBM packaging</t>
  </si>
  <si>
    <t>Contributing CY2027</t>
  </si>
  <si>
    <t>Meaningful HBM supply addition from advanced packaging</t>
  </si>
  <si>
    <t>FQ2-26 earnings call.</t>
  </si>
  <si>
    <t>India ATMP production</t>
  </si>
  <si>
    <t>Operational Feb 2026</t>
  </si>
  <si>
    <t>14M units/wk at full ramp; HBM module packaging</t>
  </si>
  <si>
    <t>PM Modi inauguration 2/26. etnews.</t>
  </si>
  <si>
    <t>SEMIANALYSIS KEY FINDINGS (April 2026)</t>
  </si>
  <si>
    <t>Cycle characterization</t>
  </si>
  <si>
    <t>Once-in-40-year shortage</t>
  </si>
  <si>
    <t>Comparable to 1993 Windows PC cycle; not even at peak yet</t>
  </si>
  <si>
    <t>SemiAnalysis 'Memory Mania'</t>
  </si>
  <si>
    <t>Memory % of hyperscaler capex</t>
  </si>
  <si>
    <t>30% in CY2026</t>
  </si>
  <si>
    <t>Up from 8% in CY2023-24; 4x increase in 3 years</t>
  </si>
  <si>
    <t>SemiAnalysis via Tom's Hardware 4/3/26</t>
  </si>
  <si>
    <t>DRAM price forecast CY2026</t>
  </si>
  <si>
    <t>&gt;2x (more than double)</t>
  </si>
  <si>
    <t>Another double-digit ASP increase expected in CY2027</t>
  </si>
  <si>
    <t>SemiAnalysis estimate</t>
  </si>
  <si>
    <t>HBM wafer consumption ratio</t>
  </si>
  <si>
    <t>3x vs commodity (rising to 4x)</t>
  </si>
  <si>
    <t>HBM4 widens gap further; HBM4E even more</t>
  </si>
  <si>
    <t>NVIDIA Rubin Ultra HBM</t>
  </si>
  <si>
    <t>1 TB per GPU</t>
  </si>
  <si>
    <t>Pushes per-GPU HBM capacity to unprecedented levels</t>
  </si>
  <si>
    <t>SemiAnalysis roadmap</t>
  </si>
  <si>
    <t>NVIDIA supply terms</t>
  </si>
  <si>
    <t>Preferential pricing below market</t>
  </si>
  <si>
    <t>NVIDIA secures HBM at below standard rates due to volume</t>
  </si>
  <si>
    <t>SemiAnalysis via Tom's Hardware</t>
  </si>
  <si>
    <t>Hyperscaler combined capex CY2026</t>
  </si>
  <si>
    <t>$710B</t>
  </si>
  <si>
    <t>Top 8 cloud providers combined</t>
  </si>
  <si>
    <t>TrendForce</t>
  </si>
  <si>
    <t>DDR5 contract pricing</t>
  </si>
  <si>
    <t>$7 -&gt; $19.50/unit</t>
  </si>
  <si>
    <t>~179% increase; Samsung 32GB DDR5 module $149 -&gt; $239</t>
  </si>
  <si>
    <t>Industry data / SoftwareSeni</t>
  </si>
  <si>
    <t>DRAM inventory (channel)</t>
  </si>
  <si>
    <t>~8 weeks</t>
  </si>
  <si>
    <t>vs 31 weeks at 2023 glut peak; below 10 wks = shortage</t>
  </si>
  <si>
    <t>Medium/market data Q4-25</t>
  </si>
  <si>
    <t>Supply relief timeline</t>
  </si>
  <si>
    <t>Not until 2028</t>
  </si>
  <si>
    <t>Intel CEO: 'No relief until 2028'; fab ramps: SKH 2027, Samsung P5 2028, MU Idaho 2027</t>
  </si>
  <si>
    <t>Multiple sources; SemiAnalysis</t>
  </si>
  <si>
    <t>SK Hynix 2026 output</t>
  </si>
  <si>
    <t>Entire output presold</t>
  </si>
  <si>
    <t>DRAM, NAND, HBM all sold out for 2026</t>
  </si>
  <si>
    <t>SK Hynix earnings call; SemiAnalysis</t>
  </si>
  <si>
    <t>Micron 2026 output</t>
  </si>
  <si>
    <t>Sold out for 2026</t>
  </si>
  <si>
    <t>Only satisfying 50-65% of demand from key customers</t>
  </si>
  <si>
    <t>Micron FQ2-26 earnings; SemiAnalysis</t>
  </si>
  <si>
    <t>HBM MARKET SHARE &amp; CUSTOMER ALLOCATION</t>
  </si>
  <si>
    <t>Supplier</t>
  </si>
  <si>
    <t>HBM Share
(Q2-25)</t>
  </si>
  <si>
    <t>Key Customer</t>
  </si>
  <si>
    <t>Allocation Detail</t>
  </si>
  <si>
    <t>SK Hynix</t>
  </si>
  <si>
    <t>NVIDIA (primary)</t>
  </si>
  <si>
    <t>2/3 of HBM supply for Vera Rubin; entire 2026 output presold</t>
  </si>
  <si>
    <t>Micron</t>
  </si>
  <si>
    <t>NVIDIA + 5 others</t>
  </si>
  <si>
    <t>100% CY2026 committed; 5-year SCA signed; targeting 25%</t>
  </si>
  <si>
    <t>Samsung</t>
  </si>
  <si>
    <t>Google TPUs (primary)</t>
  </si>
  <si>
    <t>~60% of HBM on Google TPUs; pursuing LTAs with MS/Google</t>
  </si>
  <si>
    <t>NEW CAPACITY TIMELINE (Supply Relief)</t>
  </si>
  <si>
    <t>Fab / Expansion</t>
  </si>
  <si>
    <t>Company</t>
  </si>
  <si>
    <t>Online Date</t>
  </si>
  <si>
    <t>Product</t>
  </si>
  <si>
    <t>Cheongju expansion</t>
  </si>
  <si>
    <t>2027</t>
  </si>
  <si>
    <t>HBM + DRAM</t>
  </si>
  <si>
    <t>Incremental; not transformative</t>
  </si>
  <si>
    <t>West Lafayette, Indiana</t>
  </si>
  <si>
    <t>2028</t>
  </si>
  <si>
    <t>HBM packaging</t>
  </si>
  <si>
    <t>US ATMP capacity</t>
  </si>
  <si>
    <t>Pyeongtaek P5</t>
  </si>
  <si>
    <t>DRAM + HBM</t>
  </si>
  <si>
    <t>Major new fab; meaningful supply</t>
  </si>
  <si>
    <t>Idaho Fab 1</t>
  </si>
  <si>
    <t>H2-2027</t>
  </si>
  <si>
    <t>First wafer output; qual period follows</t>
  </si>
  <si>
    <t>Singapore pkg expansion</t>
  </si>
  <si>
    <t>CY2027</t>
  </si>
  <si>
    <t>HBM ATMP</t>
  </si>
  <si>
    <t>HBM packaging capacity addition</t>
  </si>
  <si>
    <t>New York Fab 1 (Clay)</t>
  </si>
  <si>
    <t>~2030</t>
  </si>
  <si>
    <t>Delayed from 2028; long-dated</t>
  </si>
  <si>
    <t>TOTAL MEMORY MARKET TAM (TrendForce)</t>
  </si>
  <si>
    <t>Growth</t>
  </si>
  <si>
    <t>Total Memory TAM ($B)</t>
  </si>
  <si>
    <t>YoY Growth</t>
  </si>
  <si>
    <t>Micron Rev Share of TAM</t>
  </si>
  <si>
    <t>HBM as % of DRAM TAM</t>
  </si>
  <si>
    <t>DRAM &amp; NAND BIT-LEVEL ECONOMICS</t>
  </si>
  <si>
    <t>Bottom-up revenue decomposition: Bits Shipped x ASP/bit = Revenue | The physics-to-revenue bridge</t>
  </si>
  <si>
    <t>DRAM BIT ECONOMICS</t>
  </si>
  <si>
    <t>FQ1-25
(A)</t>
  </si>
  <si>
    <t>FQ2-25
(A)</t>
  </si>
  <si>
    <t>FQ3-25
(A)</t>
  </si>
  <si>
    <t>FQ4-25
(A)</t>
  </si>
  <si>
    <t>FQ1-26
(A)</t>
  </si>
  <si>
    <t>FQ2-26
(A)</t>
  </si>
  <si>
    <t>DRAM Wafer Starts (K/month)</t>
  </si>
  <si>
    <t>Bits/Wafer Index (1-beta = 100)</t>
  </si>
  <si>
    <t>DRAM Bit Output Growth QoQ (%)</t>
  </si>
  <si>
    <t>HBM Wafer Allocation (K/month)</t>
  </si>
  <si>
    <t>Effective Trade Ratio (HBM vs DDR5)</t>
  </si>
  <si>
    <t>DDR5-Equivalent Wafers Lost to HBM</t>
  </si>
  <si>
    <t>Net Commodity DRAM Wafers (K/mo)</t>
  </si>
  <si>
    <t>DRAM ASP DECOMPOSITION</t>
  </si>
  <si>
    <t>Blended DRAM ASP ($/Gb, indexed)</t>
  </si>
  <si>
    <t>ASP QoQ Change (%)</t>
  </si>
  <si>
    <t>DRAM Cost/Gb Index (1-beta = 1.00)</t>
  </si>
  <si>
    <t>ASP/Cost Spread (Margin Driver)</t>
  </si>
  <si>
    <t>DRAM REVENUE BRIDGE (Bottom-Up Check)</t>
  </si>
  <si>
    <t>Volume Effect (bit growth x prior ASP)</t>
  </si>
  <si>
    <t>Price Effect (ASP change x prior volume)</t>
  </si>
  <si>
    <t>Revenue Growth Attribution</t>
  </si>
  <si>
    <t>NAND BIT ECONOMICS (Condensed)</t>
  </si>
  <si>
    <t>NAND Wafer Starts (K/month)</t>
  </si>
  <si>
    <t>NAND Layers (Current Gen)</t>
  </si>
  <si>
    <t>NAND Bits/Wafer Index (232L = 100)</t>
  </si>
  <si>
    <t>NAND Blended ASP Index</t>
  </si>
  <si>
    <t>NAND ASP QoQ Change (%)</t>
  </si>
  <si>
    <t>INDUSTRY BIT SUPPLY GROWTH VS MICRON</t>
  </si>
  <si>
    <t>CY2024
(A)</t>
  </si>
  <si>
    <t>CY2025
(A)</t>
  </si>
  <si>
    <t>Micron DRAM Bit Supply Growth</t>
  </si>
  <si>
    <t>Micron NAND Bit Supply Growth</t>
  </si>
  <si>
    <t>KEY INSIGHT</t>
  </si>
  <si>
    <t>HBM wafer allocation acts as a supply governor on commo...</t>
  </si>
  <si>
    <t>DRAM YIELD CURVE MODEL BY NODE</t>
  </si>
  <si>
    <t>Quarter into Ramp</t>
  </si>
  <si>
    <t>Q1</t>
  </si>
  <si>
    <t>Q2</t>
  </si>
  <si>
    <t>Q3</t>
  </si>
  <si>
    <t>Q4</t>
  </si>
  <si>
    <t>Q5</t>
  </si>
  <si>
    <t>Q6</t>
  </si>
  <si>
    <t>Q7</t>
  </si>
  <si>
    <t>Q8+</t>
  </si>
  <si>
    <t>1-beta Yield (%)</t>
  </si>
  <si>
    <t>1-gamma Yield (%) — CURRENT RAMP</t>
  </si>
  <si>
    <t>1-delta Yield (%) — PROJECTED</t>
  </si>
  <si>
    <t>Yield Ramp Impact on Cost/Bit</t>
  </si>
  <si>
    <t>At 62% yield, effective cost/die is ~61% higher than at...</t>
  </si>
  <si>
    <t>HBM STACK ECONOMICS — UNIT-LEVEL P&amp;L</t>
  </si>
  <si>
    <t>HBM3E
8-High</t>
  </si>
  <si>
    <t>HBM3E
12-High</t>
  </si>
  <si>
    <t>HBM4
12-High</t>
  </si>
  <si>
    <t>HBM4
16-High</t>
  </si>
  <si>
    <t>HBM4E
12-High</t>
  </si>
  <si>
    <t>DRAM Dies per Stack</t>
  </si>
  <si>
    <t>Capacity per Stack (GB)</t>
  </si>
  <si>
    <t>Logic Die (base die)</t>
  </si>
  <si>
    <t>Total Dies per Stack</t>
  </si>
  <si>
    <t>Per-Die Yield (%)</t>
  </si>
  <si>
    <t>Stack Yield (%)</t>
  </si>
  <si>
    <t>Dies Consumed per Good Stack</t>
  </si>
  <si>
    <t>Wafer Area per Die (mm²)</t>
  </si>
  <si>
    <t>Wafers per Stack (equiv.)</t>
  </si>
  <si>
    <t>DRAM Wafer Cost ($)</t>
  </si>
  <si>
    <t>Base Die Wafer Cost ($)</t>
  </si>
  <si>
    <t>TSV + Stacking Cost ($)</t>
  </si>
  <si>
    <t>Test &amp; Packaging ($)</t>
  </si>
  <si>
    <t>Total Stack COGS ($)</t>
  </si>
  <si>
    <t>ASP per Stack ($)</t>
  </si>
  <si>
    <t>Gross Margin per Stack (%)</t>
  </si>
  <si>
    <t>ASP per GB ($)</t>
  </si>
  <si>
    <t>REVENUE PER WAFER START — KEY CAPITAL EFFICIENCY METRIC</t>
  </si>
  <si>
    <t>Wafer Type</t>
  </si>
  <si>
    <t>Cost/Wafer</t>
  </si>
  <si>
    <t>Rev/Wafer
(Current)</t>
  </si>
  <si>
    <t>Rev/Wafer
(Peak)</t>
  </si>
  <si>
    <t>Gross Profit
/Wafer</t>
  </si>
  <si>
    <t>Capital Efficiency
Rating</t>
  </si>
  <si>
    <t>Commodity DDR5 (1-gamma)</t>
  </si>
  <si>
    <t>GOOD</t>
  </si>
  <si>
    <t>EXCELLENT</t>
  </si>
  <si>
    <t>EXCEPTIONAL</t>
  </si>
  <si>
    <t>NAND 232L</t>
  </si>
  <si>
    <t>MODERATE</t>
  </si>
  <si>
    <t>NAND 300L</t>
  </si>
  <si>
    <t>KEY INSIGHT: HBM4 generates ~10x revenue per wafer star...</t>
  </si>
  <si>
    <t>HBM CONTRACT &amp; COMMITTED REVENUE FLOOR</t>
  </si>
  <si>
    <t>Quantifies the structural floor under Micron's revenue from contracted HBM</t>
  </si>
  <si>
    <t>HBM TOTAL ADDRESSABLE MARKET ($B)</t>
  </si>
  <si>
    <t>CY2025E</t>
  </si>
  <si>
    <t>CY2028E</t>
  </si>
  <si>
    <t>Industry HBM TAM ($B)</t>
  </si>
  <si>
    <t>Micron HBM Market Share (%)</t>
  </si>
  <si>
    <t>Micron HBM Revenue ($B)</t>
  </si>
  <si>
    <t>HBM CUSTOMER BASE (6 customers per mgmt)</t>
  </si>
  <si>
    <t>Customer</t>
  </si>
  <si>
    <t>Platform</t>
  </si>
  <si>
    <t>HBM Gen Required</t>
  </si>
  <si>
    <t>Est. % of MU HBM Rev</t>
  </si>
  <si>
    <t>Contract Type</t>
  </si>
  <si>
    <t>Risk Level</t>
  </si>
  <si>
    <t>NVIDIA</t>
  </si>
  <si>
    <t>Blackwell → Vera Rubin</t>
  </si>
  <si>
    <t>HBM3E → HBM4</t>
  </si>
  <si>
    <t>45-50%</t>
  </si>
  <si>
    <t>Multi-year SCA</t>
  </si>
  <si>
    <t>Low</t>
  </si>
  <si>
    <t>AMD</t>
  </si>
  <si>
    <t>MI350/MI400 AI accelerators</t>
  </si>
  <si>
    <t>15-20%</t>
  </si>
  <si>
    <t>Volume agreement</t>
  </si>
  <si>
    <t>Low-Med</t>
  </si>
  <si>
    <t>Google (TPU)</t>
  </si>
  <si>
    <t>TPU v6/v7 custom silicon</t>
  </si>
  <si>
    <t>HBM3E/HBM4</t>
  </si>
  <si>
    <t>10-15%</t>
  </si>
  <si>
    <t>Medium</t>
  </si>
  <si>
    <t>Amazon (Trainium)</t>
  </si>
  <si>
    <t>Trainium 3+ custom chip</t>
  </si>
  <si>
    <t>8-12%</t>
  </si>
  <si>
    <t>Microsoft (Maia)</t>
  </si>
  <si>
    <t>Maia AI accelerator</t>
  </si>
  <si>
    <t>HBM4</t>
  </si>
  <si>
    <t>5-8%</t>
  </si>
  <si>
    <t>Meta (MTIA)</t>
  </si>
  <si>
    <t>MTIA custom silicon</t>
  </si>
  <si>
    <t>KEY MANAGEMENT DISCLOSURES ON HBM CONTRACTS</t>
  </si>
  <si>
    <t>CY2026 HBM 100% committed</t>
  </si>
  <si>
    <t>First 5-year SCA signed</t>
  </si>
  <si>
    <t>50-65% of customer demand satisfied</t>
  </si>
  <si>
    <t>HBM TAM $100B by CY2028</t>
  </si>
  <si>
    <t>Singapore HBM pkg CY2027</t>
  </si>
  <si>
    <t>India ATMP operational Feb 2026</t>
  </si>
  <si>
    <t>HBM4 volume CQ1-2026</t>
  </si>
  <si>
    <t>INDUSTRY-WIDE LONG-TERM SUPPLY AGREEMENTS (April 2026)</t>
  </si>
  <si>
    <t>Buyer</t>
  </si>
  <si>
    <t>Products</t>
  </si>
  <si>
    <t>Duration</t>
  </si>
  <si>
    <t>Terms</t>
  </si>
  <si>
    <t>Status</t>
  </si>
  <si>
    <t>Microsoft</t>
  </si>
  <si>
    <t>DDR5 + HBM</t>
  </si>
  <si>
    <t>3 years</t>
  </si>
  <si>
    <t>Tens of trillions KRW</t>
  </si>
  <si>
    <t>Final-stage negotiations</t>
  </si>
  <si>
    <t>Google</t>
  </si>
  <si>
    <t>HBM + commodity DRAM</t>
  </si>
  <si>
    <t>Multi-year</t>
  </si>
  <si>
    <t>Not disclosed</t>
  </si>
  <si>
    <t>In discussions</t>
  </si>
  <si>
    <t>Memory (DRAM+HBM)</t>
  </si>
  <si>
    <t>3-5 years</t>
  </si>
  <si>
    <t>Large advance payments</t>
  </si>
  <si>
    <t>Negotiating</t>
  </si>
  <si>
    <t>Multiple</t>
  </si>
  <si>
    <t>5 years (first)</t>
  </si>
  <si>
    <t>Price+volume locked</t>
  </si>
  <si>
    <t>SIGNED</t>
  </si>
  <si>
    <t>PROB-WEIGHTED REVENUE FLOOR</t>
  </si>
  <si>
    <t>LONG-TERM SCA KEY TERMS (per EBN/etnews reporting)</t>
  </si>
  <si>
    <t>Term</t>
  </si>
  <si>
    <t>Structure</t>
  </si>
  <si>
    <t>Price mechanism</t>
  </si>
  <si>
    <t>Linked to spot market rates with band ranges</t>
  </si>
  <si>
    <t>EBN: prices adjust if market moves beyond specified ranges. Not fixed-price.</t>
  </si>
  <si>
    <t>Upfront payment</t>
  </si>
  <si>
    <t>10-30% of total contract value</t>
  </si>
  <si>
    <t>etnews 4/5/26: provisions for upfront payment of 10-30% of TCV.</t>
  </si>
  <si>
    <t>Volume commitment</t>
  </si>
  <si>
    <t>Fixed quantities; forfeiture if not purchased</t>
  </si>
  <si>
    <t>EBN: prepayments forfeited or credited if buyer fails to purchase committed volumes.</t>
  </si>
  <si>
    <t>Price floor</t>
  </si>
  <si>
    <t>Under discussion</t>
  </si>
  <si>
    <t>etnews: discussions centered on price floor to hedge against significant DRAM ASP declines.</t>
  </si>
  <si>
    <t>Key difference vs 2019</t>
  </si>
  <si>
    <t>Binding with enforcement</t>
  </si>
  <si>
    <t>EBN: 2019 contracts lacked enforcement; customers could cancel. New LTAs have prepayment forfeiture.</t>
  </si>
  <si>
    <t>HYPERSCALER PROCUREMENT BEHAVIOR (SemiAnalysis/SoftwareSeni)</t>
  </si>
  <si>
    <t>Behavior</t>
  </si>
  <si>
    <t>Fired procurement executive for failing to sign LTAs ahead of shortage</t>
  </si>
  <si>
    <t>SoftwareSeni compilation</t>
  </si>
  <si>
    <t>Executives 'stormed out' of SK Hynix meetings over unmet terms</t>
  </si>
  <si>
    <t>SoftwareSeni</t>
  </si>
  <si>
    <t>Meta/Google</t>
  </si>
  <si>
    <t>Created roles: 'Memory Silicon Global Sourcing Manager'</t>
  </si>
  <si>
    <t>All hyperscalers</t>
  </si>
  <si>
    <t>Station dedicated procurement staff in South Korea</t>
  </si>
  <si>
    <t>Secures preferential HBM pricing below standard market rates</t>
  </si>
  <si>
    <t>Top 8 CSPs</t>
  </si>
  <si>
    <t>Combined CY2026 capex: $710B (TrendForce)</t>
  </si>
  <si>
    <t>TrendForce projection</t>
  </si>
  <si>
    <t>NVIDIA VERA RUBIN HBM4 ALLOCATION (TrendForce 3/9/26)</t>
  </si>
  <si>
    <t>Share</t>
  </si>
  <si>
    <t>HBM Gen</t>
  </si>
  <si>
    <t>Vera Rubin (flagship)</t>
  </si>
  <si>
    <t>~70%</t>
  </si>
  <si>
    <t>Primary supplier</t>
  </si>
  <si>
    <t>TrendForce 3/9/26</t>
  </si>
  <si>
    <t>~30%</t>
  </si>
  <si>
    <t>Secondary supplier</t>
  </si>
  <si>
    <t>0%</t>
  </si>
  <si>
    <t>NOT SELECTED for flagship</t>
  </si>
  <si>
    <t>TrendForce 3/9/26; WCCFTech</t>
  </si>
  <si>
    <t>Rubin CPX (inference)</t>
  </si>
  <si>
    <t>Significant</t>
  </si>
  <si>
    <t>Primary for inference variant</t>
  </si>
  <si>
    <t>Digitimes 1/7/26</t>
  </si>
  <si>
    <t>Blackwell (current)</t>
  </si>
  <si>
    <t>All 3 suppliers</t>
  </si>
  <si>
    <t>Split</t>
  </si>
  <si>
    <t>All qualified and shipping</t>
  </si>
  <si>
    <t>Micron FQ2-26 earnings</t>
  </si>
  <si>
    <t>Rubin Ultra (future)</t>
  </si>
  <si>
    <t>1 TB per GPU; volume 2027+</t>
  </si>
  <si>
    <t>CONTRACT STRUCTURE ANALYSIS (TrendForce/Analyst Research)</t>
  </si>
  <si>
    <t>Pricing</t>
  </si>
  <si>
    <t>Volume</t>
  </si>
  <si>
    <t>Enforcement</t>
  </si>
  <si>
    <t>Who Uses</t>
  </si>
  <si>
    <t>5-Year SCA (Micron)</t>
  </si>
  <si>
    <t>5 years</t>
  </si>
  <si>
    <t>Confidential; likely fixed w/ escalation</t>
  </si>
  <si>
    <t>Specific volume commitments</t>
  </si>
  <si>
    <t>Binding; 'robust provisions'</t>
  </si>
  <si>
    <t>Micron (1 signed, more in pipeline)</t>
  </si>
  <si>
    <t>Multi-Year LTA + Prepayment</t>
  </si>
  <si>
    <t>Spot-linked with band ranges</t>
  </si>
  <si>
    <t>Fixed quantities</t>
  </si>
  <si>
    <t>Prepayment forfeiture if volumes not met</t>
  </si>
  <si>
    <t>Samsung-MSFT ($10B+ prepay), Samsung-Google</t>
  </si>
  <si>
    <t>Post-Settlement (Short-Term)</t>
  </si>
  <si>
    <t>Quarterly/Monthly</t>
  </si>
  <si>
    <t>Retroactive to market rate at settlement</t>
  </si>
  <si>
    <t>Flexible</t>
  </si>
  <si>
    <t>Final payment adjusted to spot at contract end</t>
  </si>
  <si>
    <t>Samsung/SKH/MU for NA big-tech conventional DRAM</t>
  </si>
  <si>
    <t>Annual LTA (Traditional)</t>
  </si>
  <si>
    <t>1 year</t>
  </si>
  <si>
    <t>Fixed quarterly negotiation</t>
  </si>
  <si>
    <t>Quarterly renegotiation</t>
  </si>
  <si>
    <t>Soft commitment; historically cancellable</t>
  </si>
  <si>
    <t>Legacy approach; being replaced</t>
  </si>
  <si>
    <t>HBM Volume/Price Lock</t>
  </si>
  <si>
    <t>Annual (CY basis)</t>
  </si>
  <si>
    <t>Price locked for calendar year</t>
  </si>
  <si>
    <t>100% of annual output committed</t>
  </si>
  <si>
    <t>Non-cancellable per Micron mgmt</t>
  </si>
  <si>
    <t>All 3 suppliers for HBM; MU 100% CY2026 locked</t>
  </si>
  <si>
    <t>ESTIMATED REVENUE LOCK-IN (% of Forward Revenue)</t>
  </si>
  <si>
    <t>Revenue Category</t>
  </si>
  <si>
    <t>% of Total Rev</t>
  </si>
  <si>
    <t>Contract Status</t>
  </si>
  <si>
    <t>Confidence</t>
  </si>
  <si>
    <t>HBM (all gens)</t>
  </si>
  <si>
    <t>~30% of DRAM rev</t>
  </si>
  <si>
    <t>100% contracted CY2026</t>
  </si>
  <si>
    <t>Enterprise DRAM (server DDR5)</t>
  </si>
  <si>
    <t>~35% of DRAM rev</t>
  </si>
  <si>
    <t>LTA/post-settlement; mostly committed</t>
  </si>
  <si>
    <t>Enterprise NAND (SSD)</t>
  </si>
  <si>
    <t>~70% of NAND rev</t>
  </si>
  <si>
    <t>Quarterly LTA; strong demand pull</t>
  </si>
  <si>
    <t>Mobile LPDDR5X</t>
  </si>
  <si>
    <t>~25% of DRAM rev</t>
  </si>
  <si>
    <t>OEM contracts; semi-committed</t>
  </si>
  <si>
    <t>Spot/channel (post-Crucial exit)</t>
  </si>
  <si>
    <t>&lt;5% of total rev</t>
  </si>
  <si>
    <t>Spot-exposed; minimal post-exit</t>
  </si>
  <si>
    <t>TOTAL ESTIMATED LOCKED-IN REVENUE</t>
  </si>
  <si>
    <t>5-YEAR SCA DETAILS (FQ2-26 Earnings Call 3/18/26)</t>
  </si>
  <si>
    <t>Detail</t>
  </si>
  <si>
    <t>Source / Context</t>
  </si>
  <si>
    <t>Undisclosed</t>
  </si>
  <si>
    <t>'Large customer' per Mehrotra. Strongly suspected NVIDIA.</t>
  </si>
  <si>
    <t>Unprecedented for memory; standard LTA = 1 year.</t>
  </si>
  <si>
    <t>Scope</t>
  </si>
  <si>
    <t>Broad product portfolio</t>
  </si>
  <si>
    <t>Not limited to HBM; covers DRAM/NAND.</t>
  </si>
  <si>
    <t>Pricing terms</t>
  </si>
  <si>
    <t>Confidential</t>
  </si>
  <si>
    <t>'Robust provisions' per Mehrotra. Not disclosed.</t>
  </si>
  <si>
    <t>Volume terms</t>
  </si>
  <si>
    <t>Specific commitments</t>
  </si>
  <si>
    <t>'Specific commitments over a multiyear time horizon.'</t>
  </si>
  <si>
    <t>Cycle protection</t>
  </si>
  <si>
    <t>Spans up and down cycles</t>
  </si>
  <si>
    <t>'Go across periods when industry is very tight versus other parts.'</t>
  </si>
  <si>
    <t>R&amp;D integration</t>
  </si>
  <si>
    <t>Roadmap planning included</t>
  </si>
  <si>
    <t>Closer collaboration on future product development.</t>
  </si>
  <si>
    <t>Pipeline</t>
  </si>
  <si>
    <t>Multiple others in discussion</t>
  </si>
  <si>
    <t>'In discussions with multiple other customers across markets.'</t>
  </si>
  <si>
    <t>Key analyst Qs</t>
  </si>
  <si>
    <t>Barclays: downside risk terms?</t>
  </si>
  <si>
    <t>Mehrotra declined specifics. Cantor: does it extend beyond hyperscalers?</t>
  </si>
  <si>
    <t>POST-SETTLEMENT PRICING MODEL (TrendForce 2/6/26)</t>
  </si>
  <si>
    <t>Mechanism</t>
  </si>
  <si>
    <t>Price agreed at delivery; final payment adjusted to market rate at contract end</t>
  </si>
  <si>
    <t>Effect on Micron</t>
  </si>
  <si>
    <t>Captures 100% of price upside on conventional DRAM; no cap on seller benefit in rising market</t>
  </si>
  <si>
    <t>Spot vs Contract (Mar 2026)</t>
  </si>
  <si>
    <t>TrendForce 3/4/26: DRAM spot prices currently ABOVE contract prices — indicates genuine physical shortage</t>
  </si>
  <si>
    <t>OPENAI/STARGATE DRAM DEAL (Letter of Intent, Oct 2025)</t>
  </si>
  <si>
    <t>Parties</t>
  </si>
  <si>
    <t>Samsung + SK Hynix (Micron NOT included)</t>
  </si>
  <si>
    <t>900,000 wafers/month (~40% of global DRAM output)</t>
  </si>
  <si>
    <t>Letter of intent, not binding contract</t>
  </si>
  <si>
    <t>Micron implication</t>
  </si>
  <si>
    <t>Excluded from Stargate wafer deal. Reinforces risk of customer concentration at Samsung/SKH.</t>
  </si>
  <si>
    <t>MICRON TECHNOLOGY — DEBT MATURITY SCHEDULE</t>
  </si>
  <si>
    <t>Tracks individual debt tranches, maturities, and deleveraging trajectory</t>
  </si>
  <si>
    <t>OUTSTANDING DEBT TRANCHES (as of FQ2-26)</t>
  </si>
  <si>
    <t>Debt Instrument</t>
  </si>
  <si>
    <t>Original Amt
($M)</t>
  </si>
  <si>
    <t>Outstanding
($M)</t>
  </si>
  <si>
    <t>Coupon (%)</t>
  </si>
  <si>
    <t>Maturity</t>
  </si>
  <si>
    <t>Next Call
Date</t>
  </si>
  <si>
    <t>YTM (est.)</t>
  </si>
  <si>
    <t>2025 Senior Notes (4.185%)</t>
  </si>
  <si>
    <t>Feb 2025</t>
  </si>
  <si>
    <t>REPAID</t>
  </si>
  <si>
    <t>2026 Senior Notes (4.640%)</t>
  </si>
  <si>
    <t>Feb 2026</t>
  </si>
  <si>
    <t>At maturity</t>
  </si>
  <si>
    <t>Partial paydown</t>
  </si>
  <si>
    <t>2027 Senior Notes (5.327%)</t>
  </si>
  <si>
    <t>Jan 2027</t>
  </si>
  <si>
    <t>Jul 2026</t>
  </si>
  <si>
    <t>Outstanding</t>
  </si>
  <si>
    <t>2028 Senior Notes (4.500%)</t>
  </si>
  <si>
    <t>Sep 2028</t>
  </si>
  <si>
    <t>Mar 2028</t>
  </si>
  <si>
    <t>2029 Senior Notes (6.750%)</t>
  </si>
  <si>
    <t>Nov 2029</t>
  </si>
  <si>
    <t>Aug 2029</t>
  </si>
  <si>
    <t>Redeemed $1.2B in FQ2-26</t>
  </si>
  <si>
    <t>2030 Senior Notes (5.375%)</t>
  </si>
  <si>
    <t>Apr 2030</t>
  </si>
  <si>
    <t>Jan 2030</t>
  </si>
  <si>
    <t>Partial redemption FQ2-26</t>
  </si>
  <si>
    <t>2031 Senior Notes (4.750%)</t>
  </si>
  <si>
    <t>Feb 2031</t>
  </si>
  <si>
    <t>Nov 2030</t>
  </si>
  <si>
    <t>2032 Senior Notes (5.875%)</t>
  </si>
  <si>
    <t>Sep 2032</t>
  </si>
  <si>
    <t>Jun 2032</t>
  </si>
  <si>
    <t>2033 Senior Notes (5.300%)</t>
  </si>
  <si>
    <t>Jan 2033</t>
  </si>
  <si>
    <t>Oct 2032</t>
  </si>
  <si>
    <t>Other (revolver, misc.)</t>
  </si>
  <si>
    <t>Various</t>
  </si>
  <si>
    <t>$3.5B revolver undrawn</t>
  </si>
  <si>
    <t>TOTAL OUTSTANDING DEBT</t>
  </si>
  <si>
    <t>Weighted Avg. Coupon (%)</t>
  </si>
  <si>
    <t>Weighted Avg. Maturity (Years)</t>
  </si>
  <si>
    <t>MATURITY WALL ($M coming due)</t>
  </si>
  <si>
    <t>FY2026
(Remaining)</t>
  </si>
  <si>
    <t>FY2027</t>
  </si>
  <si>
    <t>FY2028</t>
  </si>
  <si>
    <t>FY2029</t>
  </si>
  <si>
    <t>FY2030</t>
  </si>
  <si>
    <t>FY2031</t>
  </si>
  <si>
    <t>FY2032+</t>
  </si>
  <si>
    <t>Maturities Due</t>
  </si>
  <si>
    <t>Projected Paydowns (from FCF)</t>
  </si>
  <si>
    <t>Remaining Debt Outstanding</t>
  </si>
  <si>
    <t>NET DEBT / (NET CASH) TRAJECTORY</t>
  </si>
  <si>
    <t>FQ2-26
(Actual)</t>
  </si>
  <si>
    <t>FQ4-28E</t>
  </si>
  <si>
    <t>Cash &amp; Investments</t>
  </si>
  <si>
    <t>NET DEBT / (NET CASH)</t>
  </si>
  <si>
    <t>Net Debt / LTM EBITDA</t>
  </si>
  <si>
    <t>NOTE: Micron retired $4.37B of debt in H1-FY2026. At $35B+ FCF run-rate, the entire debt stack can be retired by FY2028.</t>
  </si>
  <si>
    <t>QUARTERLY INTEREST EXPENSE BUILD ($M)</t>
  </si>
  <si>
    <t>Debt Tranche</t>
  </si>
  <si>
    <t>Coupon</t>
  </si>
  <si>
    <t>2026 Notes (4.64%)</t>
  </si>
  <si>
    <t>2027 Notes (5.327%)</t>
  </si>
  <si>
    <t>2028 Notes (4.50%)</t>
  </si>
  <si>
    <t>2029 Notes (6.75%)</t>
  </si>
  <si>
    <t>2030 Notes (5.375%)</t>
  </si>
  <si>
    <t>2031 Notes (4.75%)</t>
  </si>
  <si>
    <t>2032 Notes (5.875%)</t>
  </si>
  <si>
    <t>2033 Notes (5.30%)</t>
  </si>
  <si>
    <t>Other / Revolver</t>
  </si>
  <si>
    <t>INTEREST EXPENSE BY TRANCHE ($M/quarter)</t>
  </si>
  <si>
    <t>TOTAL QUARTERLY INTEREST EXPENSE</t>
  </si>
  <si>
    <t>INTEREST COVERAGE &amp; CREDIT METRICS</t>
  </si>
  <si>
    <t>Quarterly EBITDA ($M, est.)</t>
  </si>
  <si>
    <t>Interest Coverage (EBITDA/Interest)</t>
  </si>
  <si>
    <t>Fixed Charge Coverage</t>
  </si>
  <si>
    <t>REFINANCING RISK ASSESSMENT</t>
  </si>
  <si>
    <t>Exposure</t>
  </si>
  <si>
    <t>Assessment</t>
  </si>
  <si>
    <t>Near-term maturities (12 months)</t>
  </si>
  <si>
    <t>$750M (2026 notes)</t>
  </si>
  <si>
    <t>LOW — Easily covered by single quarter FCF ($6.9B+ FQ2-26)</t>
  </si>
  <si>
    <t>Medium-term maturities (12-36 mo)</t>
  </si>
  <si>
    <t>$2,750M (2027 + 2028 notes)</t>
  </si>
  <si>
    <t>LOW — &lt;1 quarter of FCF; no refinancing needed</t>
  </si>
  <si>
    <t>Credit rating trajectory</t>
  </si>
  <si>
    <t>Investment Grade (BBB+ range)</t>
  </si>
  <si>
    <t>POSITIVE — Rapid deleveraging; net cash ...</t>
  </si>
  <si>
    <t>Covenant compliance</t>
  </si>
  <si>
    <t>No financial maintenance covenants</t>
  </si>
  <si>
    <t>N/A — Senior unsecured notes; no covenant risk</t>
  </si>
  <si>
    <t>Refinancing spread risk</t>
  </si>
  <si>
    <t>Current spread ~150bps over UST</t>
  </si>
  <si>
    <t>LOW — Credit improvement should tighten spreads</t>
  </si>
  <si>
    <t>Foreign currency debt exposure</t>
  </si>
  <si>
    <t>100% USD-denominated</t>
  </si>
  <si>
    <t>NONE — No FX translation risk on debt</t>
  </si>
  <si>
    <t>WORKING CAPITAL &amp; INVENTORY SCHEDULE</t>
  </si>
  <si>
    <t>DIO is the leading indicator of memory cycle position | Source: Micron 10-Q/10-K</t>
  </si>
  <si>
    <t>INVENTORY</t>
  </si>
  <si>
    <t>Raw Materials ($M)</t>
  </si>
  <si>
    <t>Work-in-Process ($M)</t>
  </si>
  <si>
    <t>Finished Goods ($M)</t>
  </si>
  <si>
    <t>Total Inventory ($M)</t>
  </si>
  <si>
    <t>DAYS INVENTORY OUTSTANDING (DIO)</t>
  </si>
  <si>
    <t>Quarterly COGS ($M)</t>
  </si>
  <si>
    <t>Days Inventory Outstanding</t>
  </si>
  <si>
    <t>DIO Signal</t>
  </si>
  <si>
    <t>NORMAL</t>
  </si>
  <si>
    <t>TIGHTENING</t>
  </si>
  <si>
    <t>TIGHT</t>
  </si>
  <si>
    <t>VERY TIGHT</t>
  </si>
  <si>
    <t>NORMALIZING</t>
  </si>
  <si>
    <t>WATCH</t>
  </si>
  <si>
    <t>OTHER WORKING CAPITAL</t>
  </si>
  <si>
    <t>Accounts Receivable ($M)</t>
  </si>
  <si>
    <t>Days Sales Outstanding (DSO)</t>
  </si>
  <si>
    <t>Accounts Payable ($M)</t>
  </si>
  <si>
    <t>Net Working Capital ($M)</t>
  </si>
  <si>
    <t>NWC Change QoQ (Cash Use if +)</t>
  </si>
  <si>
    <t>WATCH SIGNAL: DIO rising above 130 while ASPs flatten =...</t>
  </si>
  <si>
    <t>CASH CONVERSION CYCLE (CCC)</t>
  </si>
  <si>
    <t>(+) Days Inventory Outstanding</t>
  </si>
  <si>
    <t>(+) Days Sales Outstanding</t>
  </si>
  <si>
    <t>(-) Days Payable Outstanding</t>
  </si>
  <si>
    <t>CASH CONVERSION CYCLE (days)</t>
  </si>
  <si>
    <t>HISTORICAL INVENTORY CYCLE CONTEXT</t>
  </si>
  <si>
    <t>Cycle Phase</t>
  </si>
  <si>
    <t>DIO Range</t>
  </si>
  <si>
    <t>Signal</t>
  </si>
  <si>
    <t>Price Direction</t>
  </si>
  <si>
    <t>Example Period</t>
  </si>
  <si>
    <t>Trough (Oversupply)</t>
  </si>
  <si>
    <t>160-200+ days</t>
  </si>
  <si>
    <t>BEARISH — inventory glut</t>
  </si>
  <si>
    <t>Prices falling</t>
  </si>
  <si>
    <t>H2-2022 / H1-2023</t>
  </si>
  <si>
    <t>Early Recovery</t>
  </si>
  <si>
    <t>130-160 days</t>
  </si>
  <si>
    <t>NEUTRAL — drawdown starting</t>
  </si>
  <si>
    <t>Prices stabilizing</t>
  </si>
  <si>
    <t>H2-2023</t>
  </si>
  <si>
    <t>Mid-Cycle Expansion</t>
  </si>
  <si>
    <t>100-130 days</t>
  </si>
  <si>
    <t>BULLISH — healthy demand pull</t>
  </si>
  <si>
    <t>Prices rising</t>
  </si>
  <si>
    <t>H1-2024 / H2-2024</t>
  </si>
  <si>
    <t>Supply Shortage (Current)</t>
  </si>
  <si>
    <t>80-100 days</t>
  </si>
  <si>
    <t>VERY BULLISH — rationing</t>
  </si>
  <si>
    <t>Prices surging</t>
  </si>
  <si>
    <t>H1-2025 → Current</t>
  </si>
  <si>
    <t>Peak Tightness</t>
  </si>
  <si>
    <t>&lt;80 days</t>
  </si>
  <si>
    <t>CAUTION — unsustainably tight</t>
  </si>
  <si>
    <t>Peak pricing</t>
  </si>
  <si>
    <t>Rare; possible FQ3-26</t>
  </si>
  <si>
    <t>WORKING CAPITAL INTENSITY (NWC / Revenue)</t>
  </si>
  <si>
    <t>Quarterly Revenue ($M)</t>
  </si>
  <si>
    <t>NWC / Revenue (%)</t>
  </si>
  <si>
    <t>NWC / Revenue (Annualized)</t>
  </si>
  <si>
    <t>SHARE COUNT BRIDGE</t>
  </si>
  <si>
    <t>Tracks dilution (RSUs/options) vs. buyback-driven reduction | Drives EPS denominator</t>
  </si>
  <si>
    <t>Circuit Breaker: Buyback share calc uses Assumptions!B59 price when toggle=0</t>
  </si>
  <si>
    <t>Basic Shares Outstanding (M)</t>
  </si>
  <si>
    <t>SBC Dilution (new shares/qtr, M)</t>
  </si>
  <si>
    <t>Total Dilutive Shares Added (M)</t>
  </si>
  <si>
    <t>Buyback Shares Retired (M)</t>
  </si>
  <si>
    <t>Check vs. Assumptions Tab</t>
  </si>
  <si>
    <t>Variance (should be ~0)</t>
  </si>
  <si>
    <t>BUYBACK CAPACITY ANALYSIS</t>
  </si>
  <si>
    <t>Annual FCF ($B)</t>
  </si>
  <si>
    <t>CapEx ($B)</t>
  </si>
  <si>
    <t>Dividends ($B)</t>
  </si>
  <si>
    <t>Debt Service ($B)</t>
  </si>
  <si>
    <t>Max Available for Buybacks ($B)</t>
  </si>
  <si>
    <t>CHIPS Act Constraint</t>
  </si>
  <si>
    <t>~$1.5B/yr limit until Dec 2026</t>
  </si>
  <si>
    <t>Fully unconstrained post-Dec 2026</t>
  </si>
  <si>
    <t>POST-CHIPS RESTRICTION: Once buyback restrictions ease ...</t>
  </si>
  <si>
    <t>TREASURY STOCK METHOD — DILUTIVE SECURITIES DETAIL</t>
  </si>
  <si>
    <t>Security Type</t>
  </si>
  <si>
    <t>Shares
Granted (M)</t>
  </si>
  <si>
    <t>Wtd Avg
Exercise ($)</t>
  </si>
  <si>
    <t>In-the-Money
at $366?</t>
  </si>
  <si>
    <t>Dilutive
Shares (M)</t>
  </si>
  <si>
    <t>TSM Shares
Added (M)</t>
  </si>
  <si>
    <t>Stock Options (outstanding)</t>
  </si>
  <si>
    <t>YES</t>
  </si>
  <si>
    <t>Deep in-the-money; exercise price well below current</t>
  </si>
  <si>
    <t>RSUs (unvested)</t>
  </si>
  <si>
    <t>YES (always)</t>
  </si>
  <si>
    <t>RSUs always dilutive; no exercise price</t>
  </si>
  <si>
    <t>PSUs (performance-based)</t>
  </si>
  <si>
    <t>Conditional</t>
  </si>
  <si>
    <t>~60% expected to vest based on current trajectory</t>
  </si>
  <si>
    <t>ESPP shares</t>
  </si>
  <si>
    <t>Employee stock purchase plan; 15% discount</t>
  </si>
  <si>
    <t>Total Dilutive Securities (TSM)</t>
  </si>
  <si>
    <t>RSU VESTING SCHEDULE (Estimated)</t>
  </si>
  <si>
    <t>FY2027E
Total</t>
  </si>
  <si>
    <t>RSUs Vesting (M shares)</t>
  </si>
  <si>
    <t>SBC Expense ($M)</t>
  </si>
  <si>
    <t>SBC as % of Revenue</t>
  </si>
  <si>
    <t>EPS SENSITIVITY TO SHARE COUNT</t>
  </si>
  <si>
    <t>Diluted Shares (M)</t>
  </si>
  <si>
    <t>1,095</t>
  </si>
  <si>
    <t>1,105</t>
  </si>
  <si>
    <t>1,115</t>
  </si>
  <si>
    <t>1,125</t>
  </si>
  <si>
    <t>1,135</t>
  </si>
  <si>
    <t>1,142</t>
  </si>
  <si>
    <t>1,150</t>
  </si>
  <si>
    <t>FY2027E Net Income ($B)</t>
  </si>
  <si>
    <t>Implied EPS ($)</t>
  </si>
  <si>
    <t>EPS Impact vs Base (1,142M)</t>
  </si>
  <si>
    <t>DISCOUNTED CASH FLOW MODEL</t>
  </si>
  <si>
    <t>3-stage DCF: Explicit forecast (FY26-28) → Fade (FY29-31) → Terminal | WACC-based discounting</t>
  </si>
  <si>
    <t>WACC CALCULATION</t>
  </si>
  <si>
    <t>Risk-Free Rate (%)</t>
  </si>
  <si>
    <t>Equity Risk Premium (%)</t>
  </si>
  <si>
    <t>Beta (5-yr levered)</t>
  </si>
  <si>
    <t>Cost of Equity (%)</t>
  </si>
  <si>
    <t>Pre-Tax Cost of Debt (%)</t>
  </si>
  <si>
    <t>Tax Rate (%)</t>
  </si>
  <si>
    <t>After-Tax Cost of Debt (%)</t>
  </si>
  <si>
    <t>Debt / Total Capital (%)</t>
  </si>
  <si>
    <t>Equity / Total Capital (%)</t>
  </si>
  <si>
    <t>WACC (%)</t>
  </si>
  <si>
    <t>FREE CASH FLOW PROJECTIONS ($B)</t>
  </si>
  <si>
    <t>FY2028E</t>
  </si>
  <si>
    <t>FY2029E</t>
  </si>
  <si>
    <t>FY2030E</t>
  </si>
  <si>
    <t>FY2031E</t>
  </si>
  <si>
    <t>Explicit</t>
  </si>
  <si>
    <t>Fade</t>
  </si>
  <si>
    <t>Revenue ($B)</t>
  </si>
  <si>
    <t>EBITDA Margin (%)</t>
  </si>
  <si>
    <t>EBITDA ($B)</t>
  </si>
  <si>
    <t>(-) D&amp;A ($B)</t>
  </si>
  <si>
    <t>EBIT ($B)</t>
  </si>
  <si>
    <t>(-) Taxes on EBIT</t>
  </si>
  <si>
    <t>NOPAT ($B)</t>
  </si>
  <si>
    <t>(+) D&amp;A ($B)</t>
  </si>
  <si>
    <t>(-) CapEx ($B)</t>
  </si>
  <si>
    <t>(+) CHIPS Act Offsets ($B)</t>
  </si>
  <si>
    <t>(-) Change in NWC ($B)</t>
  </si>
  <si>
    <t>UNLEVERED FREE CASH FLOW ($B)</t>
  </si>
  <si>
    <t>DISCOUNTED VALUES</t>
  </si>
  <si>
    <t>Discount Period (years)</t>
  </si>
  <si>
    <t>Discount Factor</t>
  </si>
  <si>
    <t>PV of FCF ($B)</t>
  </si>
  <si>
    <t>Sum of PV of FCFs ($B)</t>
  </si>
  <si>
    <t>TERMINAL VALUE</t>
  </si>
  <si>
    <t>Terminal FCF (FY2031E, $B)</t>
  </si>
  <si>
    <t>Terminal Growth Rate (%)</t>
  </si>
  <si>
    <t>Terminal Value ($B)</t>
  </si>
  <si>
    <t>PV of Terminal Value ($B)</t>
  </si>
  <si>
    <t>Implied Terminal EV/EBITDA</t>
  </si>
  <si>
    <t>ENTERPRISE TO EQUITY VALUE BRIDGE</t>
  </si>
  <si>
    <t>Enterprise Value ($B)</t>
  </si>
  <si>
    <t>(-) Net Debt / (+) Net Cash ($B)</t>
  </si>
  <si>
    <t>Equity Value ($B)</t>
  </si>
  <si>
    <t>Diluted Shares (B)</t>
  </si>
  <si>
    <t>DCF FAIR VALUE PER SHARE</t>
  </si>
  <si>
    <t>Current Price</t>
  </si>
  <si>
    <t>Implied Upside / (Downside)</t>
  </si>
  <si>
    <t>DCF SENSITIVITY: WACC vs Terminal Growth</t>
  </si>
  <si>
    <t>Terminal Growth →</t>
  </si>
  <si>
    <t>WACC 8.0%</t>
  </si>
  <si>
    <t>WACC 9.0%</t>
  </si>
  <si>
    <t>WACC 10.0%</t>
  </si>
  <si>
    <t>WACC 10.5%</t>
  </si>
  <si>
    <t>WACC 11.0%</t>
  </si>
  <si>
    <t>WACC 12.0%</t>
  </si>
  <si>
    <t>WACC 13.0%</t>
  </si>
  <si>
    <t>SCENARIO-SPECIFIC DCF VALUES</t>
  </si>
  <si>
    <t>Scenario</t>
  </si>
  <si>
    <t>Probability</t>
  </si>
  <si>
    <t>Rev CAGR
(FY26-31)</t>
  </si>
  <si>
    <t>Avg EBITDA
Margin</t>
  </si>
  <si>
    <t>Terminal
Growth</t>
  </si>
  <si>
    <t>DCF Fair
Value</t>
  </si>
  <si>
    <t>vs Current</t>
  </si>
  <si>
    <t>AI Supercycle (Bull)</t>
  </si>
  <si>
    <t>Steady Growth (Base)</t>
  </si>
  <si>
    <t>Cyclical Correction</t>
  </si>
  <si>
    <t>Hard Landing</t>
  </si>
  <si>
    <t>PROB-WEIGHTED DCF VALUE</t>
  </si>
  <si>
    <t>FCFF vs FCFE RECONCILIATION (FY2026E)</t>
  </si>
  <si>
    <t>Net Income ($B)</t>
  </si>
  <si>
    <t>Free Cash Flow to Equity (FCFE, $B)</t>
  </si>
  <si>
    <t>(+) Interest Expense x (1-t) ($B)</t>
  </si>
  <si>
    <t>(-) Net Debt Repayment ($B)</t>
  </si>
  <si>
    <t>Free Cash Flow to Firm (FCFF, $B)</t>
  </si>
  <si>
    <t>FOOTBALL FIELD VALUATION SUMMARY</t>
  </si>
  <si>
    <t>Methodology</t>
  </si>
  <si>
    <t>Low ($)</t>
  </si>
  <si>
    <t>Base ($)</t>
  </si>
  <si>
    <t>High ($)</t>
  </si>
  <si>
    <t>Current
($366)</t>
  </si>
  <si>
    <t>DCF (WACC 9-12%)</t>
  </si>
  <si>
    <t>NTM P/E (10-18x)</t>
  </si>
  <si>
    <t>Mid-Cycle P/E (10-18x)</t>
  </si>
  <si>
    <t>EV/EBITDA (8-14x)</t>
  </si>
  <si>
    <t>FCF Yield (4-8%)</t>
  </si>
  <si>
    <t>Sum-of-Parts</t>
  </si>
  <si>
    <t>Prob-Weighted Scenarios</t>
  </si>
  <si>
    <t>COMPOSITE RANGE</t>
  </si>
  <si>
    <t>% vs Current ($366)</t>
  </si>
  <si>
    <t>EXTERNAL DCF REFERENCE: BEATING THE TIDE ($934 PT)</t>
  </si>
  <si>
    <t>Assumption</t>
  </si>
  <si>
    <t>Their Value</t>
  </si>
  <si>
    <t>Our Value</t>
  </si>
  <si>
    <t>Delta</t>
  </si>
  <si>
    <t>WACC</t>
  </si>
  <si>
    <t>9.6%</t>
  </si>
  <si>
    <t>~10.9%</t>
  </si>
  <si>
    <t>We're more conservative</t>
  </si>
  <si>
    <t>~$109B</t>
  </si>
  <si>
    <t>$106B</t>
  </si>
  <si>
    <t>Close</t>
  </si>
  <si>
    <t>GM Floor (structural)</t>
  </si>
  <si>
    <t>65-81%</t>
  </si>
  <si>
    <t>70% FY26 blended</t>
  </si>
  <si>
    <t>They use wider range</t>
  </si>
  <si>
    <t>SG&amp;A % of Rev</t>
  </si>
  <si>
    <t>1.4%</t>
  </si>
  <si>
    <t>~1.8%</t>
  </si>
  <si>
    <t>Tax Rate</t>
  </si>
  <si>
    <t>17%</t>
  </si>
  <si>
    <t>15.1%</t>
  </si>
  <si>
    <t>We're lower (FQ2 actual)</t>
  </si>
  <si>
    <t>FY2026 CapEx</t>
  </si>
  <si>
    <t>&gt;$25B</t>
  </si>
  <si>
    <t>$25B</t>
  </si>
  <si>
    <t>Same</t>
  </si>
  <si>
    <t>Terminal Growth</t>
  </si>
  <si>
    <t>3.5%</t>
  </si>
  <si>
    <t>Result</t>
  </si>
  <si>
    <t>$934/share</t>
  </si>
  <si>
    <t>~$520 base</t>
  </si>
  <si>
    <t>Their WACC 130bps lower = huge TV difference</t>
  </si>
  <si>
    <t>MICRON TECHNOLOGY — MULTI-METHODOLOGY VALUATION</t>
  </si>
  <si>
    <t>Current Price: $366 | As of April 5, 2026</t>
  </si>
  <si>
    <t>CURRENT MARKET DATA</t>
  </si>
  <si>
    <t>Share Price ($)</t>
  </si>
  <si>
    <t>Market Cap ($B)</t>
  </si>
  <si>
    <t>Total Debt ($B)</t>
  </si>
  <si>
    <t>Cash &amp; Investments ($B)</t>
  </si>
  <si>
    <t>VALUATION METHODOLOGIES</t>
  </si>
  <si>
    <t>Implied Price</t>
  </si>
  <si>
    <t>1. LTM P/E</t>
  </si>
  <si>
    <t>LTM EPS (FQ3-25 thru FQ2-26)</t>
  </si>
  <si>
    <t>2. NTM P/E (FY2026E)</t>
  </si>
  <si>
    <t>3. FY2027E P/E</t>
  </si>
  <si>
    <t>4. Mid-Cycle P/E</t>
  </si>
  <si>
    <t>Mid-Cycle EPS (avg FY25-27)</t>
  </si>
  <si>
    <t>5. EV/EBITDA (FY2026E)</t>
  </si>
  <si>
    <t>FY2026E EBITDA ($B)</t>
  </si>
  <si>
    <t>6. FCF Yield</t>
  </si>
  <si>
    <t>FY2026E FCF ($B)</t>
  </si>
  <si>
    <t>7. Sum-of-Parts</t>
  </si>
  <si>
    <t>DRAM + NAND + HBM</t>
  </si>
  <si>
    <t>SCENARIO-WEIGHTED VALUATION</t>
  </si>
  <si>
    <t>FY27E EPS</t>
  </si>
  <si>
    <t>Fair P/E</t>
  </si>
  <si>
    <t>Target Price</t>
  </si>
  <si>
    <t>Contribution</t>
  </si>
  <si>
    <t>Cyclical Correction (Bear)</t>
  </si>
  <si>
    <t>PROBABILITY-WEIGHTED TARGET</t>
  </si>
  <si>
    <t>WHAT THE MARKET IS PRICING IN (BACK-SOLVE)</t>
  </si>
  <si>
    <t>Current Price at 14x P/E implies EPS of:</t>
  </si>
  <si>
    <t>Current Price at 10x P/E implies EPS of:</t>
  </si>
  <si>
    <t>Current Price at 7x P/E implies EPS of:</t>
  </si>
  <si>
    <t>SENSITIVITY TABLE: FY27E EPS vs P/E MULTIPLE</t>
  </si>
  <si>
    <t>FY27E EPS →</t>
  </si>
  <si>
    <t>7x P/E</t>
  </si>
  <si>
    <t>8x P/E</t>
  </si>
  <si>
    <t>10x P/E</t>
  </si>
  <si>
    <t>12x P/E</t>
  </si>
  <si>
    <t>14x P/E</t>
  </si>
  <si>
    <t>15x P/E</t>
  </si>
  <si>
    <t>16x P/E</t>
  </si>
  <si>
    <t>18x P/E</t>
  </si>
  <si>
    <t>20x P/E</t>
  </si>
  <si>
    <t>WALL STREET CONSENSUS ESTIMATES</t>
  </si>
  <si>
    <t>StockAnalysis / BofA post-Q2</t>
  </si>
  <si>
    <t>Revenue YoY Growth</t>
  </si>
  <si>
    <t>Non-GAAP EPS (consensus)</t>
  </si>
  <si>
    <t>StockAnalysis mean; FY28 = BofA</t>
  </si>
  <si>
    <t>EPS Range (low)</t>
  </si>
  <si>
    <t>From Projected P&amp;L tab</t>
  </si>
  <si>
    <t>StockAnalysis range</t>
  </si>
  <si>
    <t>EPS Range (high)</t>
  </si>
  <si>
    <t>38 Buy, 0 Hold, 0 Sell</t>
  </si>
  <si>
    <t>Gross Margin (est.)</t>
  </si>
  <si>
    <t>Blended full-year; H2-26 peak ~81%</t>
  </si>
  <si>
    <t>Mgmt: &gt;$25B FY26; +$10B FY27 construction</t>
  </si>
  <si>
    <t>FCF ($B)</t>
  </si>
  <si>
    <t>OCF minus capex; FQ3 FCF guide 'roughly double' $6.9B</t>
  </si>
  <si>
    <t>Analyst Count</t>
  </si>
  <si>
    <t>StockAnalysis April 2026</t>
  </si>
  <si>
    <t>Avg Price Target ($)</t>
  </si>
  <si>
    <t>Rating</t>
  </si>
  <si>
    <t>Target ($)</t>
  </si>
  <si>
    <t>StockAnalysis; range $400 (GS) to $700 (Cantor)</t>
  </si>
  <si>
    <t>Cantor Fitzgerald</t>
  </si>
  <si>
    <t>Buy</t>
  </si>
  <si>
    <t>Mar 26</t>
  </si>
  <si>
    <t>Expects 'very aggressive' buybacks Dec 26+</t>
  </si>
  <si>
    <t>BOFA EPS TRAJECTORY (Most Detailed Bank Model)</t>
  </si>
  <si>
    <t>Srini Pajjuri</t>
  </si>
  <si>
    <t>Outperform</t>
  </si>
  <si>
    <t>HBM TAM + contracted revenue quality</t>
  </si>
  <si>
    <t>BofA FY2026E EPS</t>
  </si>
  <si>
    <t>AI memory supercycle duration</t>
  </si>
  <si>
    <t>BofA FY2027E EPS</t>
  </si>
  <si>
    <t>Raised from $320; structural shift</t>
  </si>
  <si>
    <t>BofA FY2028E EPS</t>
  </si>
  <si>
    <t>Overweight</t>
  </si>
  <si>
    <t>HBM + data center dominance</t>
  </si>
  <si>
    <t>Citi</t>
  </si>
  <si>
    <t>Atif Malik</t>
  </si>
  <si>
    <t>Apr 2</t>
  </si>
  <si>
    <t>CUT from $510. TurboQuant + DDR5 spot</t>
  </si>
  <si>
    <t>BofA</t>
  </si>
  <si>
    <t>Flagged HBM price risk in 2027</t>
  </si>
  <si>
    <t>RETURN ON INVESTED CAPITAL (ROIC) ANALYSIS</t>
  </si>
  <si>
    <t>ROIC measures capital efficiency through the cycle | ROIC &gt; WACC = value creation</t>
  </si>
  <si>
    <t>FY2023
(A)</t>
  </si>
  <si>
    <t>FY2024
(A)</t>
  </si>
  <si>
    <t>FY2025
(A)</t>
  </si>
  <si>
    <t>NOPAT (Net Operating Profit After Tax)</t>
  </si>
  <si>
    <t>Operating Income ($B)</t>
  </si>
  <si>
    <t>INVESTED CAPITAL</t>
  </si>
  <si>
    <t>Net PP&amp;E ($B)</t>
  </si>
  <si>
    <t>Net Working Capital ($B)</t>
  </si>
  <si>
    <t>Other Operating Assets ($B)</t>
  </si>
  <si>
    <t>Invested Capital ($B)</t>
  </si>
  <si>
    <t>RETURN ON INVESTED CAPITAL</t>
  </si>
  <si>
    <t>ROIC (%)</t>
  </si>
  <si>
    <t>ROIC - WACC Spread (Value Creation)</t>
  </si>
  <si>
    <t>Invested Capital Turns (Revenue/IC)</t>
  </si>
  <si>
    <t>THROUGH-CYCLE ROIC CONTEXT</t>
  </si>
  <si>
    <t>Average ROIC (FY23-28E)</t>
  </si>
  <si>
    <t>Peak ROIC (FY2026E)</t>
  </si>
  <si>
    <t>Trough ROIC (FY2023)</t>
  </si>
  <si>
    <t>ROIC Volatility (Std Dev)</t>
  </si>
  <si>
    <t>KEY INSIGHT: The swing from -11% ROIC (FY2023 trough) t...</t>
  </si>
  <si>
    <t>DUPONT DECOMPOSITION OF ROIC</t>
  </si>
  <si>
    <t>NOPAT Margin (%)</t>
  </si>
  <si>
    <t>Capital Turns (x)</t>
  </si>
  <si>
    <t>ROIC (Margin x Turns, check)</t>
  </si>
  <si>
    <t>DUPONT INSIGHT: Micron's ROIC is almost entirely margin...</t>
  </si>
  <si>
    <t>INCREMENTAL ROIC (Marginal Returns on New Capital)</t>
  </si>
  <si>
    <t>FY24→25</t>
  </si>
  <si>
    <t>FY25→26E</t>
  </si>
  <si>
    <t>FY26→27E</t>
  </si>
  <si>
    <t>FY27→28E</t>
  </si>
  <si>
    <t>Change in NOPAT ($B)</t>
  </si>
  <si>
    <t>Change in Invested Capital ($B)</t>
  </si>
  <si>
    <t>INCREMENTAL ROIC (%)</t>
  </si>
  <si>
    <t>Incremental ROIC Signal</t>
  </si>
  <si>
    <t>STRONG</t>
  </si>
  <si>
    <t>EXTRAORDINARY</t>
  </si>
  <si>
    <t>NEGATIVE (cycle norm.)</t>
  </si>
  <si>
    <t>NEGATIVE (cycle turn)</t>
  </si>
  <si>
    <t>Incremental ROIC turning negative in FY26→27E and FY27→...</t>
  </si>
  <si>
    <t>ECONOMIC VALUE ADDED (EVA)</t>
  </si>
  <si>
    <t>Capital Charge (IC x WACC, $B)</t>
  </si>
  <si>
    <t>EVA = NOPAT - Capital Charge ($B)</t>
  </si>
  <si>
    <t>Cumulative EVA ($B)</t>
  </si>
  <si>
    <t>PEER ROIC COMPARISON</t>
  </si>
  <si>
    <t>FY2023
ROIC</t>
  </si>
  <si>
    <t>FY2024
ROIC</t>
  </si>
  <si>
    <t>FY2025
ROIC</t>
  </si>
  <si>
    <t>Avg ROIC
(3yr)</t>
  </si>
  <si>
    <t>ROIC Vol
(Std Dev)</t>
  </si>
  <si>
    <t>Quality
Rating</t>
  </si>
  <si>
    <t>Micron (MU)</t>
  </si>
  <si>
    <t>VOLATILE</t>
  </si>
  <si>
    <t>Samsung (Memory)</t>
  </si>
  <si>
    <t>NVIDIA (for context)</t>
  </si>
  <si>
    <t>HIGH &amp; STABLE</t>
  </si>
  <si>
    <t>TSMC (for context)</t>
  </si>
  <si>
    <t>Memory ROIC is inherently volatile due to commodity pri...</t>
  </si>
  <si>
    <t>COMPARABLE COMPANY ANALYSIS</t>
  </si>
  <si>
    <t>FINANCIAL COMPARISON (Latest Available)</t>
  </si>
  <si>
    <t>Kioxia</t>
  </si>
  <si>
    <t>WDC (NAND)</t>
  </si>
  <si>
    <t>FY Rev ($B, latest)</t>
  </si>
  <si>
    <t>FY Op. Margin (%)</t>
  </si>
  <si>
    <t>Gross Margin (latest Q)</t>
  </si>
  <si>
    <t>HBM Market Share (%)</t>
  </si>
  <si>
    <t>DRAM Market Share (%)</t>
  </si>
  <si>
    <t>NAND Market Share (%)</t>
  </si>
  <si>
    <t>Forward P/E (est.)</t>
  </si>
  <si>
    <t>EV/EBITDA (est.)</t>
  </si>
  <si>
    <t>TECHNOLOGY POSITIONING</t>
  </si>
  <si>
    <t>Capability</t>
  </si>
  <si>
    <t>Leading DRAM Node</t>
  </si>
  <si>
    <t>1b (DUV)</t>
  </si>
  <si>
    <t>1b (transition to EUV)</t>
  </si>
  <si>
    <t>NAND Layer Count</t>
  </si>
  <si>
    <t>232L / 300L</t>
  </si>
  <si>
    <t>321L (Solidigm)</t>
  </si>
  <si>
    <t>290L V-NAND</t>
  </si>
  <si>
    <t>HBM Gen Shipping</t>
  </si>
  <si>
    <t>HBM4 12-hi (volume)</t>
  </si>
  <si>
    <t>HBM3E 12-hi (HBM4 sampling)</t>
  </si>
  <si>
    <t>HBM3E (HBM4 sampling)</t>
  </si>
  <si>
    <t>HBM4 Volume Status</t>
  </si>
  <si>
    <t>CQ1-2026 volume start</t>
  </si>
  <si>
    <t>Sampling to customers</t>
  </si>
  <si>
    <t>Sampling; yield challenges</t>
  </si>
  <si>
    <t>Key Technology Edge</t>
  </si>
  <si>
    <t>1-gamma yield leadership; HBM4 first</t>
  </si>
  <si>
    <t>HBM scale &amp; customer lock-in</t>
  </si>
  <si>
    <t>Foundry integration; scale</t>
  </si>
  <si>
    <t>Gov't Subsidies (US)</t>
  </si>
  <si>
    <t>$6.4B CHIPS Act grants</t>
  </si>
  <si>
    <t>None (Korea subsidies)</t>
  </si>
  <si>
    <t>Geographic Risk</t>
  </si>
  <si>
    <t>Taiwan (25% of DRAM)</t>
  </si>
  <si>
    <t>Korea (geopolitical)</t>
  </si>
  <si>
    <t>Korea + China</t>
  </si>
  <si>
    <t>RISK MATRIX &amp; CATALYST CALENDAR</t>
  </si>
  <si>
    <t>RISK MATRIX</t>
  </si>
  <si>
    <t>EPS Impact</t>
  </si>
  <si>
    <t>Monitoring Signal</t>
  </si>
  <si>
    <t>Mitigation Factor</t>
  </si>
  <si>
    <t>Severity</t>
  </si>
  <si>
    <t>Samsung closes HBM yield gap</t>
  </si>
  <si>
    <t>-15 to -25%</t>
  </si>
  <si>
    <t>Samsung HBM3E/4 qualification at NVIDIA; TrendForce HBM share data</t>
  </si>
  <si>
    <t>Micron has 18-month technology lead on HBM4; customer switching costs high</t>
  </si>
  <si>
    <t>HIGH</t>
  </si>
  <si>
    <t>Taiwan Strait escalation</t>
  </si>
  <si>
    <t>-30 to -40%</t>
  </si>
  <si>
    <t>US-China military posturing; Taiwan election dynamics; Pentagon assessments</t>
  </si>
  <si>
    <t>Diversification to Idaho/NY/India reduces concentration; 18mo inventory buffer</t>
  </si>
  <si>
    <t>CRITICAL</t>
  </si>
  <si>
    <t>Hyperscaler CapEx cliff</t>
  </si>
  <si>
    <t>-20 to -30%</t>
  </si>
  <si>
    <t>Quarterly capex guidance from MSFT, GOOGL, AMZN, META; cloud...</t>
  </si>
  <si>
    <t>AI training demand is multi-year; inference demand growing; ...</t>
  </si>
  <si>
    <t>YMTC NAND capacity surge</t>
  </si>
  <si>
    <t>-5 to -10%</t>
  </si>
  <si>
    <t>YMTC wafer starts data; China NAND pricing in channel</t>
  </si>
  <si>
    <t>US export controls limit YMTC to 128L; Micron NAND only 21% of rev</t>
  </si>
  <si>
    <t>MEDIUM</t>
  </si>
  <si>
    <t>NVIDIA shifts HBM allocation</t>
  </si>
  <si>
    <t>-10 to -15%</t>
  </si>
  <si>
    <t>NVIDIA supplier qualification updates; competitive HBM benchmark results</t>
  </si>
  <si>
    <t>5-year SCA signed; multi-customer base reduces single-customer risk</t>
  </si>
  <si>
    <t>EUV cost overruns (1-delta)</t>
  </si>
  <si>
    <t>-5 to -8%</t>
  </si>
  <si>
    <t>ASML delivery schedules; Micron capex guidance revisions; peer cost data</t>
  </si>
  <si>
    <t>1-gamma transition on track (fastest ever); 1-delta is CY2028+ risk</t>
  </si>
  <si>
    <t>LOW-MED</t>
  </si>
  <si>
    <t>Memory cycle peaks early</t>
  </si>
  <si>
    <t>-15 to -20%</t>
  </si>
  <si>
    <t>DRAM contract pricing (TrendForce monthly); inventory days rising above 130</t>
  </si>
  <si>
    <t>HBM contracted revenue creates floor; this cycle is structurally different</t>
  </si>
  <si>
    <t>Tariff / trade policy disruption</t>
  </si>
  <si>
    <t>US trade policy announcements; Section 301 updates; reciprocal tariffs</t>
  </si>
  <si>
    <t>CHIPS Act domestic investment partially hedges; diversified customer base</t>
  </si>
  <si>
    <t>CATALYST CALENDAR (April 2026 — March 2027)</t>
  </si>
  <si>
    <t>Date</t>
  </si>
  <si>
    <t>Event</t>
  </si>
  <si>
    <t>Expected Impact</t>
  </si>
  <si>
    <t>Materiality</t>
  </si>
  <si>
    <t>Direction</t>
  </si>
  <si>
    <t>Apr 15, 2026</t>
  </si>
  <si>
    <t>Dividend record date ($0.15/qtr)</t>
  </si>
  <si>
    <t>Confirms capital return commitment</t>
  </si>
  <si>
    <t>Positive</t>
  </si>
  <si>
    <t>Apr-May 2026</t>
  </si>
  <si>
    <t>Samsung CQ1-2026 earnings</t>
  </si>
  <si>
    <t>Reveals competitor HBM progress &amp; pricing</t>
  </si>
  <si>
    <t>High</t>
  </si>
  <si>
    <t>Mixed</t>
  </si>
  <si>
    <t>SK Hynix CQ1-2026 earnings</t>
  </si>
  <si>
    <t>Industry DRAM/HBM supply data</t>
  </si>
  <si>
    <t>Jun 2026</t>
  </si>
  <si>
    <t>MU FQ3-26 earnings (~Jun 18)</t>
  </si>
  <si>
    <t>Validation of $33.5B/$19.15 guidance</t>
  </si>
  <si>
    <t>Critical</t>
  </si>
  <si>
    <t>NVIDIA Vera Rubin architecture details</t>
  </si>
  <si>
    <t>HBM4 demand validation</t>
  </si>
  <si>
    <t>Aug 2026</t>
  </si>
  <si>
    <t>TrendForce CQ3 DRAM contract pricing</t>
  </si>
  <si>
    <t>Leading indicator of pricing direction</t>
  </si>
  <si>
    <t>Sep 2026</t>
  </si>
  <si>
    <t>MU FQ4-26 earnings (~Sep 18)</t>
  </si>
  <si>
    <t>Full FY2026 results; FY2027 initial outlook</t>
  </si>
  <si>
    <t>Oct-Dec 2026</t>
  </si>
  <si>
    <t>CHIPS Act buyback restrictions ease</t>
  </si>
  <si>
    <t>Capital return acceleration potential</t>
  </si>
  <si>
    <t>H2 2027</t>
  </si>
  <si>
    <t>Idaho Fab 1 wafer output begins</t>
  </si>
  <si>
    <t>First major US greenfield capacity addition</t>
  </si>
  <si>
    <t>HBM4E volume ramp</t>
  </si>
  <si>
    <t>Next-gen HBM with higher ASP potential</t>
  </si>
  <si>
    <t>Singapore HBM packaging contribution</t>
  </si>
  <si>
    <t>Supply capacity expansion for HBM</t>
  </si>
  <si>
    <t>NEW CATALYSTS FROM APRIL 2026 INTELLIGENCE</t>
  </si>
  <si>
    <t>Apr 5, 2026</t>
  </si>
  <si>
    <t>Samsung +30% Q2 DRAM pricing confirmed</t>
  </si>
  <si>
    <t>Validates pricing power; Micron/SKH to follow</t>
  </si>
  <si>
    <t>MS-SK Hynix DDR5 LTA finalization</t>
  </si>
  <si>
    <t>Sets industry precedent for contracted commodity DRAM</t>
  </si>
  <si>
    <t>Samsung-Google/MS LTA negotiations</t>
  </si>
  <si>
    <t>Could shift from spot to contracted pricing paradigm</t>
  </si>
  <si>
    <t>Q3 2026</t>
  </si>
  <si>
    <t>Key inflection point per etnews</t>
  </si>
  <si>
    <t>Big 3 capacity not yet expanded; AI demand decisive</t>
  </si>
  <si>
    <t>Micron stacked GDDR samples</t>
  </si>
  <si>
    <t>New product category between DDR5 and HBM</t>
  </si>
  <si>
    <t>SEMIANALYSIS CONTRARIAN RISK SIGNALS</t>
  </si>
  <si>
    <t>Current Status</t>
  </si>
  <si>
    <t>Bear Implication</t>
  </si>
  <si>
    <t>Memory ETF launch</t>
  </si>
  <si>
    <t>New memory-focused ETF launched</t>
  </si>
  <si>
    <t>Potential contrarian peak indicator; retail flows signal froth</t>
  </si>
  <si>
    <t>SemiAnalysis / ainvest</t>
  </si>
  <si>
    <t>DRAM inventory &gt; 10 weeks</t>
  </si>
  <si>
    <t>Currently ~8 weeks</t>
  </si>
  <si>
    <t>Would signal demand softening; watch quarterly</t>
  </si>
  <si>
    <t>SemiAnalysis</t>
  </si>
  <si>
    <t>Cancel-to-book ratio rising</t>
  </si>
  <si>
    <t>Currently very low</t>
  </si>
  <si>
    <t>Hyperscalers canceling orders = demand cliff risk</t>
  </si>
  <si>
    <t>SemiAnalysis monitoring signal</t>
  </si>
  <si>
    <t>Fab announcements &gt;20 new</t>
  </si>
  <si>
    <t>Currently manageable</t>
  </si>
  <si>
    <t>1993 parallel: 50 fab plans announced -&gt; oversupply by 1996</t>
  </si>
  <si>
    <t>SemiAnalysis historical comparison</t>
  </si>
  <si>
    <t>Apple production restrictions</t>
  </si>
  <si>
    <t>Signaled potential CY2026 cuts</t>
  </si>
  <si>
    <t>Consumer DRAM demand destruction; less relevant for MU (exited consumer)</t>
  </si>
  <si>
    <t>ainvest / industry reports</t>
  </si>
  <si>
    <t>CRITICAL NEW RISKS (April 2026 Intelligence)</t>
  </si>
  <si>
    <t>Mitigation</t>
  </si>
  <si>
    <t>HBM4 Vera Rubin exclusion</t>
  </si>
  <si>
    <t>-8 to -12%</t>
  </si>
  <si>
    <t>TrendForce 3/9/26: Samsung (30%) + SK Hynix (70%) tapped as ...</t>
  </si>
  <si>
    <t>Micron positioned for Rubin CPX + future rotation. HBM4 qual...</t>
  </si>
  <si>
    <t>Google TurboQuant algorithm</t>
  </si>
  <si>
    <t>-15 to -25% (2028+)</t>
  </si>
  <si>
    <t>Memory compression could reduce LLM memory needs by up to 6x...</t>
  </si>
  <si>
    <t>Impacts inference &gt; training. Near-term (FY26-27) training d...</t>
  </si>
  <si>
    <t>April 2 reciprocal tariffs</t>
  </si>
  <si>
    <t>-2 to -5%</t>
  </si>
  <si>
    <t>Universal 10% tariff on imports from Taiwan/Japan/Singapore....</t>
  </si>
  <si>
    <t>Micron imposing surcharge on modules/SSDs (DCD 4/9/26). CHIP...</t>
  </si>
  <si>
    <t>DDR5 spot price divergence</t>
  </si>
  <si>
    <t>-3 to -8%</t>
  </si>
  <si>
    <t>DDR5 16Gb spot: -5.1% late March (Seoul Econ Daily). Middle ...</t>
  </si>
  <si>
    <t>Spot =/= contract. Micron sells to enterprise under contract...</t>
  </si>
  <si>
    <t>Capex 'hog cycle' overshoot</t>
  </si>
  <si>
    <t>-10 to -20% (FY28+)</t>
  </si>
  <si>
    <t>FY26 capex $25B+. FY27 'stepping up meaningfully' (+$10B YoY...</t>
  </si>
  <si>
    <t>Historical parallel: 1993 had 50 fab announcements before ov...</t>
  </si>
  <si>
    <t>MICRON TECHNOLOGY ($MU) — INVESTMENT THESIS</t>
  </si>
  <si>
    <t>RECOMMENDATION: BUY — HIGH CONVICTION</t>
  </si>
  <si>
    <t>Target Price (Probability-Weighted):</t>
  </si>
  <si>
    <t>22% drawdown from $471 ATH</t>
  </si>
  <si>
    <t>Implied Upside from Current ($366):</t>
  </si>
  <si>
    <t>VARIANT PERCEPTION (Where We Differ from Consensus)</t>
  </si>
  <si>
    <t>1.</t>
  </si>
  <si>
    <t>2.</t>
  </si>
  <si>
    <t>3.</t>
  </si>
  <si>
    <t>SCENARIO SUMMARY</t>
  </si>
  <si>
    <t>AI SUPERCYCLE (25%)</t>
  </si>
  <si>
    <t>Supply constraints persist beyond CY2027. HBM TAM exceeds $1...</t>
  </si>
  <si>
    <t>STEADY GROWTH — BASE (45%)</t>
  </si>
  <si>
    <t>Orderly normalization. GM settles at 60-65%. HBM grows at pl...</t>
  </si>
  <si>
    <t>CYCLICAL CORRECTION (20%)</t>
  </si>
  <si>
    <t>Hyperscaler capex plateaus. Pricing normalizes faster. Samsu...</t>
  </si>
  <si>
    <t>HARD LANDING (10%)</t>
  </si>
  <si>
    <t>AI winter + macro recession. Inventory builds. GM collapses ...</t>
  </si>
  <si>
    <t>CAPITAL RETURN STATUS</t>
  </si>
  <si>
    <t>• Buyback:</t>
  </si>
  <si>
    <t>• Dividend:</t>
  </si>
  <si>
    <t>• Debt:</t>
  </si>
  <si>
    <t>KEY MONITORING SIGNALS</t>
  </si>
  <si>
    <t>UPGRADE CONVICTION IF:</t>
  </si>
  <si>
    <t xml:space="preserve">  • Gross margins sustained above 70% beyond FQ3-26 (im...</t>
  </si>
  <si>
    <t xml:space="preserve">  • Additional multi-year SCAs signed (broadens contrac...</t>
  </si>
  <si>
    <t xml:space="preserve">  • Samsung HBM4 qualification further delayed (extends...</t>
  </si>
  <si>
    <t xml:space="preserve">  • Hyperscaler capex guidance raises (confirms demand ...</t>
  </si>
  <si>
    <t>CUT POSITION IF:</t>
  </si>
  <si>
    <t xml:space="preserve">  • DRAM contract pricing rolls over (TrendForce monthl...</t>
  </si>
  <si>
    <t xml:space="preserve">  • Samsung HBM4 qualified at NVIDIA (removes Micron's ...</t>
  </si>
  <si>
    <t xml:space="preserve">  • Hyperscaler capex guidance cuts &gt;15% (signals deman...</t>
  </si>
  <si>
    <t xml:space="preserve">  • Inventory days exceed 140 (leading indicator of pri...</t>
  </si>
  <si>
    <t>LATEST INTELLIGENCE (April 5, 2026)</t>
  </si>
  <si>
    <t>Samsung +30% Q2 DRAM pricing</t>
  </si>
  <si>
    <t>Goldman: 4.9% DRAM undersupply CY2026</t>
  </si>
  <si>
    <t>MS/Google signing multi-year DRAM LTAs</t>
  </si>
  <si>
    <t>Micron exits consumer (Crucial)</t>
  </si>
  <si>
    <t>Micron developing stacked GDDR (first)</t>
  </si>
  <si>
    <t>SEMIANALYSIS THESIS SUPPORT</t>
  </si>
  <si>
    <t>Memory = 30% of hyperscaler capex</t>
  </si>
  <si>
    <t>DRAM prices to &gt;2x in CY2026</t>
  </si>
  <si>
    <t>No relief until 2028</t>
  </si>
  <si>
    <t>Contrarian signal: memory ETF</t>
  </si>
  <si>
    <t>Model built April 5, 2026. Sources: Micron SEC filings, SemiAnalysis, etnews, Goldman Sachs, Cantor Fitzgerald.</t>
  </si>
  <si>
    <t>NOT INVESTMENT ADVICE. FOR ANALYTICAL PURPOSES ONLY.</t>
  </si>
  <si>
    <t>KEY MANAGEMENT QUOTES (Earnings Calls)</t>
  </si>
  <si>
    <t>50-67% demand fulfillment</t>
  </si>
  <si>
    <t>Supply tight beyond 2026</t>
  </si>
  <si>
    <t>NAND supply shortage</t>
  </si>
  <si>
    <t>Why margins are structurally higher</t>
  </si>
  <si>
    <t>SCA design philosophy</t>
  </si>
  <si>
    <t>Capital return trajectory</t>
  </si>
  <si>
    <t>Robotics growth vector</t>
  </si>
  <si>
    <t>FQ3 FCF doubling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</si>
</sst>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0.0\x"/>
    <numFmt numFmtId="166" formatCode="\$#,##0.0,,&quot;B&quot;"/>
    <numFmt numFmtId="167" formatCode="\$#,##0.00"/>
    <numFmt numFmtId="168" formatCode="\$#,##0"/>
    <numFmt numFmtId="169" formatCode="#,##0.0"/>
    <numFmt numFmtId="170" formatCode="0.0"/>
    <numFmt numFmtId="171" formatCode="0.00\x"/>
    <numFmt numFmtId="172" formatCode="0.000"/>
  </numFmts>
  <fonts count="37">
    <font>
      <sz val="11"/>
      <color theme="1"/>
      <name val="Calibri"/>
      <family val="2"/>
      <scheme val="minor"/>
    </font>
    <font>
      <b/>
      <sz val="14"/>
      <color rgb="FF002060"/>
      <name val="Calibri"/>
    </font>
    <font>
      <i/>
      <sz val="9"/>
      <color rgb="FF808080"/>
      <name val="Calibri"/>
    </font>
    <font>
      <sz val="10"/>
      <color rgb="FF0000FF"/>
      <name val="Calibri"/>
    </font>
    <font>
      <sz val="10"/>
      <color rgb="FF000000"/>
      <name val="Calibri"/>
    </font>
    <font>
      <sz val="10"/>
      <color rgb="FF008000"/>
      <name val="Calibri"/>
    </font>
    <font>
      <sz val="9"/>
      <name val="Calibri"/>
    </font>
    <font>
      <b/>
      <sz val="10"/>
      <color rgb="FFFFFFFF"/>
      <name val="Calibri"/>
    </font>
    <font>
      <sz val="8"/>
      <color rgb="FF006100"/>
      <name val="Calibri"/>
    </font>
    <font>
      <sz val="8"/>
      <color rgb="FF9C5700"/>
      <name val="Calibri"/>
    </font>
    <font>
      <b/>
      <sz val="11"/>
      <color rgb="FF002060"/>
      <name val="Calibri"/>
    </font>
    <font>
      <b/>
      <sz val="10"/>
      <color rgb="FF000000"/>
      <name val="Calibri"/>
    </font>
    <font>
      <b/>
      <sz val="12"/>
      <color rgb="FF002060"/>
      <name val="Calibri"/>
    </font>
    <font>
      <sz val="9"/>
      <color rgb="FF808080"/>
      <name val="Calibri"/>
    </font>
    <font>
      <sz val="10"/>
      <color rgb="FF808080"/>
      <name val="Calibri"/>
    </font>
    <font>
      <sz val="9"/>
      <color rgb="FF002060"/>
      <name val="Calibri"/>
    </font>
    <font>
      <b/>
      <sz val="10"/>
      <color rgb="FF008000"/>
      <name val="Calibri"/>
    </font>
    <font>
      <b/>
      <sz val="10"/>
      <color rgb="FFFF0000"/>
      <name val="Calibri"/>
    </font>
    <font>
      <b/>
      <sz val="16"/>
      <color rgb="FF002060"/>
      <name val="Calibri"/>
    </font>
    <font>
      <b/>
      <sz val="14"/>
      <color rgb="FFFFFFFF"/>
      <name val="Calibri"/>
    </font>
    <font>
      <b/>
      <sz val="10"/>
      <color rgb="FF006100"/>
      <name val="Calibri"/>
    </font>
    <font>
      <sz val="9"/>
      <color rgb="FF006100"/>
      <name val="Calibri"/>
    </font>
    <font>
      <b/>
      <sz val="10"/>
      <color rgb="FFC00000"/>
      <name val="Calibri"/>
    </font>
    <font>
      <sz val="9"/>
      <color rgb="FFC00000"/>
      <name val="Calibri"/>
    </font>
    <font>
      <b/>
      <sz val="8"/>
      <color rgb="FFC00000"/>
      <name val="Calibri"/>
    </font>
    <font>
      <i/>
      <sz val="9"/>
      <color rgb="FF002060"/>
      <name val="Calibri"/>
    </font>
    <font>
      <sz val="9"/>
      <color rgb="FF00000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b/>
      <sz val="8"/>
      <color rgb="FF006100"/>
      <name val="Calibri"/>
    </font>
    <font>
      <b/>
      <sz val="8"/>
      <color rgb="FF9C5700"/>
      <name val="Calibri"/>
    </font>
    <font>
      <sz val="10"/>
      <color rgb="FF002060"/>
      <name val="Calibri"/>
    </font>
    <font>
      <b/>
      <sz val="10"/>
      <color rgb="FF0000FF"/>
      <name val="Calibri"/>
    </font>
    <font>
      <sz val="11"/>
      <color theme="1"/>
      <name val="Calibri"/>
    </font>
    <font>
      <sz val="10"/>
      <name val="Calibri"/>
    </font>
    <font>
      <b/>
      <sz val="10"/>
      <name val="Calibri"/>
    </font>
    <font>
      <b/>
      <sz val="13"/>
      <color rgb="FF00206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FCE4EC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D6E4F0"/>
      </patternFill>
    </fill>
    <fill>
      <patternFill patternType="solid">
        <fgColor rgb="FF006100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C00000"/>
      </patternFill>
    </fill>
    <fill>
      <patternFill patternType="solid">
        <fgColor rgb="FFFF6600"/>
      </patternFill>
    </fill>
  </fills>
  <borders count="8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002060"/>
      </top>
      <bottom style="double">
        <color rgb="FF002060"/>
      </bottom>
      <diagonal/>
    </border>
    <border>
      <left style="thin">
        <color rgb="FFB4C6E7"/>
      </left>
      <right style="thin">
        <color rgb="FFB4C6E7"/>
      </right>
      <top style="medium">
        <color rgb="FF002060"/>
      </top>
      <bottom style="double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4" fillId="2" borderId="0" xfId="0" applyFont="1" applyFill="1"/>
    <xf numFmtId="165" fontId="3" fillId="2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11" fillId="2" borderId="0" xfId="0" applyFont="1" applyFill="1"/>
    <xf numFmtId="0" fontId="11" fillId="0" borderId="0" xfId="0" applyFont="1"/>
    <xf numFmtId="166" fontId="3" fillId="0" borderId="1" xfId="0" applyNumberFormat="1" applyFont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right" vertical="center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164" fontId="4" fillId="0" borderId="1" xfId="0" applyNumberFormat="1" applyFont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  <xf numFmtId="0" fontId="12" fillId="2" borderId="0" xfId="0" applyFont="1" applyFill="1"/>
    <xf numFmtId="168" fontId="11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0" fontId="13" fillId="0" borderId="0" xfId="0" applyFont="1"/>
    <xf numFmtId="3" fontId="4" fillId="0" borderId="1" xfId="0" applyNumberFormat="1" applyFont="1" applyBorder="1" applyAlignment="1">
      <alignment horizontal="right" vertical="center"/>
    </xf>
    <xf numFmtId="0" fontId="14" fillId="0" borderId="0" xfId="0" applyFont="1"/>
    <xf numFmtId="0" fontId="10" fillId="0" borderId="0" xfId="0" applyFont="1"/>
    <xf numFmtId="3" fontId="11" fillId="0" borderId="2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7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7" fillId="10" borderId="0" xfId="0" applyFont="1" applyFill="1" applyAlignment="1">
      <alignment horizontal="center" vertical="center" wrapText="1"/>
    </xf>
    <xf numFmtId="0" fontId="3" fillId="0" borderId="1" xfId="0" applyFont="1" applyBorder="1"/>
    <xf numFmtId="0" fontId="3" fillId="11" borderId="1" xfId="0" applyFont="1" applyFill="1" applyBorder="1"/>
    <xf numFmtId="0" fontId="3" fillId="9" borderId="1" xfId="0" applyFont="1" applyFill="1" applyBorder="1"/>
    <xf numFmtId="169" fontId="1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4" fillId="0" borderId="1" xfId="0" applyFont="1" applyBorder="1"/>
    <xf numFmtId="169" fontId="4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3" fontId="11" fillId="2" borderId="2" xfId="0" applyNumberFormat="1" applyFont="1" applyFill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16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4" fontId="16" fillId="0" borderId="1" xfId="0" applyNumberFormat="1" applyFont="1" applyBorder="1" applyAlignment="1">
      <alignment horizontal="right" vertical="center"/>
    </xf>
    <xf numFmtId="167" fontId="16" fillId="0" borderId="1" xfId="0" applyNumberFormat="1" applyFont="1" applyBorder="1" applyAlignment="1">
      <alignment horizontal="right" vertical="center"/>
    </xf>
    <xf numFmtId="167" fontId="11" fillId="0" borderId="1" xfId="0" applyNumberFormat="1" applyFont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0" fontId="11" fillId="6" borderId="1" xfId="0" applyFont="1" applyFill="1" applyBorder="1"/>
    <xf numFmtId="0" fontId="11" fillId="7" borderId="1" xfId="0" applyFont="1" applyFill="1" applyBorder="1"/>
    <xf numFmtId="0" fontId="11" fillId="8" borderId="1" xfId="0" applyFont="1" applyFill="1" applyBorder="1"/>
    <xf numFmtId="0" fontId="11" fillId="9" borderId="1" xfId="0" applyFont="1" applyFill="1" applyBorder="1"/>
    <xf numFmtId="168" fontId="12" fillId="2" borderId="3" xfId="0" applyNumberFormat="1" applyFont="1" applyFill="1" applyBorder="1" applyAlignment="1">
      <alignment horizontal="right" vertical="center"/>
    </xf>
    <xf numFmtId="0" fontId="7" fillId="3" borderId="0" xfId="0" applyFont="1" applyFill="1"/>
    <xf numFmtId="167" fontId="7" fillId="3" borderId="0" xfId="0" applyNumberFormat="1" applyFont="1" applyFill="1" applyAlignment="1">
      <alignment horizontal="center" vertical="center" wrapText="1"/>
    </xf>
    <xf numFmtId="0" fontId="11" fillId="13" borderId="1" xfId="0" applyFont="1" applyFill="1" applyBorder="1"/>
    <xf numFmtId="168" fontId="4" fillId="9" borderId="1" xfId="0" applyNumberFormat="1" applyFont="1" applyFill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8" fontId="4" fillId="2" borderId="1" xfId="0" applyNumberFormat="1" applyFont="1" applyFill="1" applyBorder="1" applyAlignment="1">
      <alignment horizontal="center" vertical="center" wrapText="1"/>
    </xf>
    <xf numFmtId="168" fontId="4" fillId="1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12" borderId="1" xfId="0" applyFont="1" applyFill="1" applyBorder="1"/>
    <xf numFmtId="0" fontId="4" fillId="11" borderId="1" xfId="0" applyFont="1" applyFill="1" applyBorder="1"/>
    <xf numFmtId="0" fontId="17" fillId="11" borderId="1" xfId="0" applyFont="1" applyFill="1" applyBorder="1"/>
    <xf numFmtId="3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/>
    <xf numFmtId="168" fontId="16" fillId="0" borderId="1" xfId="0" applyNumberFormat="1" applyFont="1" applyBorder="1" applyAlignment="1">
      <alignment horizontal="right" vertical="center"/>
    </xf>
    <xf numFmtId="0" fontId="23" fillId="0" borderId="0" xfId="0" applyFont="1"/>
    <xf numFmtId="0" fontId="10" fillId="0" borderId="4" xfId="0" applyFont="1" applyBorder="1"/>
    <xf numFmtId="0" fontId="20" fillId="12" borderId="1" xfId="0" applyFont="1" applyFill="1" applyBorder="1" applyAlignment="1">
      <alignment horizontal="center" vertical="center" wrapText="1"/>
    </xf>
    <xf numFmtId="0" fontId="11" fillId="2" borderId="1" xfId="0" applyFont="1" applyFill="1" applyBorder="1"/>
    <xf numFmtId="170" fontId="3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/>
    <xf numFmtId="2" fontId="3" fillId="0" borderId="1" xfId="0" applyNumberFormat="1" applyFont="1" applyBorder="1" applyAlignment="1">
      <alignment horizontal="right" vertical="center"/>
    </xf>
    <xf numFmtId="171" fontId="11" fillId="2" borderId="1" xfId="0" applyNumberFormat="1" applyFont="1" applyFill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0" fontId="20" fillId="12" borderId="1" xfId="0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 vertical="center"/>
    </xf>
    <xf numFmtId="169" fontId="11" fillId="2" borderId="2" xfId="0" applyNumberFormat="1" applyFont="1" applyFill="1" applyBorder="1" applyAlignment="1">
      <alignment horizontal="right" vertical="center"/>
    </xf>
    <xf numFmtId="172" fontId="4" fillId="0" borderId="1" xfId="0" applyNumberFormat="1" applyFont="1" applyBorder="1" applyAlignment="1">
      <alignment horizontal="right" vertical="center"/>
    </xf>
    <xf numFmtId="169" fontId="11" fillId="0" borderId="2" xfId="0" applyNumberFormat="1" applyFont="1" applyBorder="1" applyAlignment="1">
      <alignment horizontal="right" vertical="center"/>
    </xf>
    <xf numFmtId="172" fontId="3" fillId="0" borderId="1" xfId="0" applyNumberFormat="1" applyFont="1" applyBorder="1" applyAlignment="1">
      <alignment horizontal="right" vertical="center"/>
    </xf>
    <xf numFmtId="168" fontId="12" fillId="2" borderId="2" xfId="0" applyNumberFormat="1" applyFont="1" applyFill="1" applyBorder="1" applyAlignment="1">
      <alignment horizontal="right" vertical="center"/>
    </xf>
    <xf numFmtId="164" fontId="7" fillId="3" borderId="0" xfId="0" applyNumberFormat="1" applyFont="1" applyFill="1" applyAlignment="1">
      <alignment horizontal="center" vertical="center" wrapText="1"/>
    </xf>
    <xf numFmtId="164" fontId="11" fillId="0" borderId="2" xfId="0" applyNumberFormat="1" applyFont="1" applyBorder="1" applyAlignment="1">
      <alignment horizontal="right" vertical="center"/>
    </xf>
    <xf numFmtId="171" fontId="4" fillId="0" borderId="1" xfId="0" applyNumberFormat="1" applyFont="1" applyBorder="1" applyAlignment="1">
      <alignment horizontal="right" vertical="center"/>
    </xf>
    <xf numFmtId="0" fontId="22" fillId="0" borderId="0" xfId="0" applyFont="1"/>
    <xf numFmtId="170" fontId="4" fillId="0" borderId="1" xfId="0" applyNumberFormat="1" applyFont="1" applyBorder="1" applyAlignment="1">
      <alignment horizontal="right" vertical="center"/>
    </xf>
    <xf numFmtId="0" fontId="20" fillId="12" borderId="1" xfId="0" applyFont="1" applyFill="1" applyBorder="1"/>
    <xf numFmtId="0" fontId="26" fillId="0" borderId="1" xfId="0" applyFont="1" applyBorder="1"/>
    <xf numFmtId="165" fontId="11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" fontId="11" fillId="2" borderId="2" xfId="0" applyNumberFormat="1" applyFont="1" applyFill="1" applyBorder="1" applyAlignment="1">
      <alignment horizontal="right" vertical="center"/>
    </xf>
    <xf numFmtId="0" fontId="4" fillId="9" borderId="1" xfId="0" applyFont="1" applyFill="1" applyBorder="1"/>
    <xf numFmtId="0" fontId="11" fillId="11" borderId="1" xfId="0" applyFont="1" applyFill="1" applyBorder="1"/>
    <xf numFmtId="0" fontId="11" fillId="12" borderId="1" xfId="0" applyFont="1" applyFill="1" applyBorder="1"/>
    <xf numFmtId="167" fontId="4" fillId="2" borderId="1" xfId="0" applyNumberFormat="1" applyFont="1" applyFill="1" applyBorder="1" applyAlignment="1">
      <alignment horizontal="right" vertical="center"/>
    </xf>
    <xf numFmtId="168" fontId="3" fillId="9" borderId="1" xfId="0" applyNumberFormat="1" applyFont="1" applyFill="1" applyBorder="1" applyAlignment="1">
      <alignment horizontal="right" vertical="center"/>
    </xf>
    <xf numFmtId="168" fontId="11" fillId="12" borderId="1" xfId="0" applyNumberFormat="1" applyFont="1" applyFill="1" applyBorder="1" applyAlignment="1">
      <alignment horizontal="right" vertical="center"/>
    </xf>
    <xf numFmtId="168" fontId="3" fillId="12" borderId="1" xfId="0" applyNumberFormat="1" applyFont="1" applyFill="1" applyBorder="1" applyAlignment="1">
      <alignment horizontal="right" vertical="center"/>
    </xf>
    <xf numFmtId="168" fontId="17" fillId="0" borderId="1" xfId="0" applyNumberFormat="1" applyFont="1" applyBorder="1"/>
    <xf numFmtId="0" fontId="27" fillId="12" borderId="1" xfId="0" applyFont="1" applyFill="1" applyBorder="1"/>
    <xf numFmtId="0" fontId="28" fillId="9" borderId="1" xfId="0" applyFont="1" applyFill="1" applyBorder="1"/>
    <xf numFmtId="169" fontId="5" fillId="0" borderId="1" xfId="0" applyNumberFormat="1" applyFont="1" applyBorder="1" applyAlignment="1">
      <alignment horizontal="right" vertical="center"/>
    </xf>
    <xf numFmtId="0" fontId="28" fillId="0" borderId="1" xfId="0" applyFont="1" applyBorder="1"/>
    <xf numFmtId="0" fontId="27" fillId="0" borderId="1" xfId="0" applyFont="1" applyBorder="1"/>
    <xf numFmtId="0" fontId="4" fillId="0" borderId="7" xfId="0" applyFont="1" applyBorder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4" fillId="0" borderId="7" xfId="0" applyFont="1" applyBorder="1"/>
    <xf numFmtId="170" fontId="3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/>
    <xf numFmtId="164" fontId="3" fillId="2" borderId="1" xfId="0" applyNumberFormat="1" applyFont="1" applyFill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0" fontId="17" fillId="9" borderId="1" xfId="0" applyFont="1" applyFill="1" applyBorder="1"/>
    <xf numFmtId="164" fontId="3" fillId="12" borderId="1" xfId="0" applyNumberFormat="1" applyFont="1" applyFill="1" applyBorder="1" applyAlignment="1">
      <alignment horizontal="right" vertical="center"/>
    </xf>
    <xf numFmtId="164" fontId="3" fillId="11" borderId="1" xfId="0" applyNumberFormat="1" applyFont="1" applyFill="1" applyBorder="1" applyAlignment="1">
      <alignment horizontal="right" vertical="center"/>
    </xf>
    <xf numFmtId="0" fontId="32" fillId="0" borderId="1" xfId="0" applyFont="1" applyBorder="1"/>
    <xf numFmtId="0" fontId="11" fillId="2" borderId="2" xfId="0" applyFont="1" applyFill="1" applyBorder="1"/>
    <xf numFmtId="3" fontId="3" fillId="10" borderId="1" xfId="0" applyNumberFormat="1" applyFont="1" applyFill="1" applyBorder="1" applyAlignment="1">
      <alignment horizontal="right" vertical="center"/>
    </xf>
    <xf numFmtId="167" fontId="3" fillId="9" borderId="1" xfId="0" applyNumberFormat="1" applyFont="1" applyFill="1" applyBorder="1" applyAlignment="1">
      <alignment horizontal="right" vertical="center"/>
    </xf>
    <xf numFmtId="0" fontId="28" fillId="11" borderId="1" xfId="0" applyFont="1" applyFill="1" applyBorder="1"/>
    <xf numFmtId="3" fontId="3" fillId="2" borderId="2" xfId="0" applyNumberFormat="1" applyFont="1" applyFill="1" applyBorder="1" applyAlignment="1">
      <alignment horizontal="right" vertical="center"/>
    </xf>
    <xf numFmtId="0" fontId="33" fillId="0" borderId="0" xfId="0" applyFont="1"/>
    <xf numFmtId="0" fontId="34" fillId="0" borderId="7" xfId="0" applyFont="1" applyBorder="1"/>
    <xf numFmtId="0" fontId="35" fillId="0" borderId="7" xfId="0" applyFont="1" applyBorder="1"/>
    <xf numFmtId="164" fontId="3" fillId="0" borderId="7" xfId="0" applyNumberFormat="1" applyFont="1" applyBorder="1"/>
    <xf numFmtId="0" fontId="3" fillId="0" borderId="7" xfId="0" applyFont="1" applyBorder="1"/>
    <xf numFmtId="1" fontId="14" fillId="0" borderId="7" xfId="0" applyNumberFormat="1" applyFont="1" applyBorder="1" applyAlignment="1">
      <alignment horizontal="right" vertical="center"/>
    </xf>
    <xf numFmtId="1" fontId="34" fillId="0" borderId="7" xfId="0" applyNumberFormat="1" applyFont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3" fontId="34" fillId="0" borderId="7" xfId="0" applyNumberFormat="1" applyFont="1" applyBorder="1" applyAlignment="1">
      <alignment horizontal="right" vertical="center"/>
    </xf>
    <xf numFmtId="168" fontId="34" fillId="0" borderId="7" xfId="0" applyNumberFormat="1" applyFont="1" applyBorder="1" applyAlignment="1">
      <alignment horizontal="right" vertical="center"/>
    </xf>
    <xf numFmtId="3" fontId="34" fillId="0" borderId="7" xfId="0" applyNumberFormat="1" applyFont="1" applyBorder="1"/>
    <xf numFmtId="3" fontId="35" fillId="0" borderId="7" xfId="0" applyNumberFormat="1" applyFont="1" applyBorder="1"/>
    <xf numFmtId="0" fontId="35" fillId="2" borderId="7" xfId="0" applyFont="1" applyFill="1" applyBorder="1"/>
    <xf numFmtId="167" fontId="35" fillId="2" borderId="7" xfId="0" applyNumberFormat="1" applyFont="1" applyFill="1" applyBorder="1"/>
    <xf numFmtId="167" fontId="35" fillId="0" borderId="7" xfId="0" applyNumberFormat="1" applyFont="1" applyBorder="1"/>
    <xf numFmtId="169" fontId="34" fillId="0" borderId="7" xfId="0" applyNumberFormat="1" applyFont="1" applyBorder="1"/>
    <xf numFmtId="0" fontId="34" fillId="0" borderId="7" xfId="0" applyFont="1" applyBorder="1" applyAlignment="1">
      <alignment horizontal="center" vertical="center" wrapText="1"/>
    </xf>
    <xf numFmtId="164" fontId="34" fillId="0" borderId="7" xfId="0" applyNumberFormat="1" applyFont="1" applyBorder="1" applyAlignment="1">
      <alignment horizontal="right" vertical="center"/>
    </xf>
    <xf numFmtId="3" fontId="16" fillId="2" borderId="1" xfId="0" applyNumberFormat="1" applyFont="1" applyFill="1" applyBorder="1" applyAlignment="1">
      <alignment horizontal="right" vertical="center"/>
    </xf>
    <xf numFmtId="0" fontId="11" fillId="1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25" fillId="0" borderId="0" xfId="0" applyFont="1" applyAlignment="1">
      <alignment vertical="top" wrapText="1"/>
    </xf>
    <xf numFmtId="0" fontId="31" fillId="0" borderId="0" xfId="0" applyFont="1" applyAlignment="1">
      <alignment vertical="top" wrapText="1"/>
    </xf>
    <xf numFmtId="167" fontId="2" fillId="0" borderId="1" xfId="0" applyNumberFormat="1" applyFont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19" fillId="14" borderId="0" xfId="0" applyFont="1" applyFill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0" fillId="0" borderId="5" xfId="0" applyBorder="1" applyAlignment="1"/>
    <xf numFmtId="0" fontId="0" fillId="0" borderId="6" xfId="0" applyBorder="1" applyAlignment="1"/>
    <xf numFmtId="0" fontId="36" fillId="0" borderId="4" xfId="0" applyFont="1" applyBorder="1" applyAlignment="1">
      <alignment horizontal="left" vertical="top" wrapText="1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4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12" borderId="1" xfId="0" applyFont="1" applyFill="1" applyBorder="1" applyAlignment="1"/>
    <xf numFmtId="0" fontId="3" fillId="9" borderId="1" xfId="0" applyFont="1" applyFill="1" applyBorder="1" applyAlignment="1"/>
    <xf numFmtId="0" fontId="18" fillId="0" borderId="0" xfId="0" applyFont="1" applyAlignment="1"/>
    <xf numFmtId="0" fontId="10" fillId="0" borderId="4" xfId="0" applyFont="1" applyBorder="1" applyAlignment="1"/>
    <xf numFmtId="0" fontId="0" fillId="0" borderId="4" xfId="0" applyBorder="1" applyAlignment="1"/>
    <xf numFmtId="0" fontId="11" fillId="6" borderId="0" xfId="0" applyFont="1" applyFill="1" applyAlignment="1"/>
    <xf numFmtId="0" fontId="11" fillId="7" borderId="0" xfId="0" applyFont="1" applyFill="1" applyAlignment="1"/>
    <xf numFmtId="0" fontId="11" fillId="8" borderId="0" xfId="0" applyFont="1" applyFill="1" applyAlignment="1"/>
    <xf numFmtId="0" fontId="11" fillId="9" borderId="0" xfId="0" applyFont="1" applyFill="1" applyAlignment="1"/>
    <xf numFmtId="0" fontId="20" fillId="12" borderId="0" xfId="0" applyFont="1" applyFill="1" applyAlignment="1"/>
    <xf numFmtId="0" fontId="21" fillId="0" borderId="0" xfId="0" applyFont="1" applyAlignment="1"/>
    <xf numFmtId="0" fontId="22" fillId="9" borderId="0" xfId="0" applyFont="1" applyFill="1" applyAlignment="1"/>
    <xf numFmtId="0" fontId="23" fillId="0" borderId="0" xfId="0" applyFont="1" applyAlignment="1"/>
    <xf numFmtId="0" fontId="11" fillId="12" borderId="0" xfId="0" applyFont="1" applyFill="1" applyAlignment="1"/>
    <xf numFmtId="0" fontId="11" fillId="13" borderId="0" xfId="0" applyFont="1" applyFill="1" applyAlignment="1"/>
    <xf numFmtId="0" fontId="11" fillId="11" borderId="0" xfId="0" applyFont="1" applyFill="1" applyAlignment="1"/>
    <xf numFmtId="0" fontId="24" fillId="0" borderId="0" xfId="0" applyFont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D81"/>
  <sheetViews>
    <sheetView showGridLines="0" tabSelected="1" workbookViewId="0"/>
  </sheetViews>
  <sheetFormatPr defaultRowHeight="15"/>
  <cols>
    <col min="1" max="1" width="3" customWidth="1"/>
    <col min="2" max="2" width="22" customWidth="1"/>
    <col min="3" max="3" width="65" customWidth="1"/>
    <col min="4" max="4" width="45" customWidth="1"/>
  </cols>
  <sheetData>
    <row r="1" spans="2:4">
      <c r="B1" s="188" t="s">
        <v>0</v>
      </c>
      <c r="C1" s="204"/>
      <c r="D1" s="205"/>
    </row>
    <row r="3" spans="2:4">
      <c r="B3" s="206" t="s">
        <v>1</v>
      </c>
      <c r="C3" s="204"/>
      <c r="D3" s="205"/>
    </row>
    <row r="5" spans="2:4">
      <c r="B5" s="176" t="s">
        <v>2</v>
      </c>
      <c r="C5" s="176" t="s">
        <v>3</v>
      </c>
      <c r="D5" s="176" t="s">
        <v>4</v>
      </c>
    </row>
    <row r="6" spans="2:4">
      <c r="B6" s="177" t="s">
        <v>5</v>
      </c>
      <c r="C6" s="178" t="s">
        <v>6</v>
      </c>
      <c r="D6" s="179" t="s">
        <v>7</v>
      </c>
    </row>
    <row r="7" spans="2:4">
      <c r="B7" s="178" t="s">
        <v>8</v>
      </c>
      <c r="C7" s="178" t="s">
        <v>9</v>
      </c>
      <c r="D7" s="179" t="s">
        <v>10</v>
      </c>
    </row>
    <row r="8" spans="2:4">
      <c r="B8" s="180" t="s">
        <v>11</v>
      </c>
      <c r="C8" s="178" t="s">
        <v>12</v>
      </c>
      <c r="D8" s="179">
        <f>Assumptions!B55</f>
        <v>8710</v>
      </c>
    </row>
    <row r="9" spans="2:4">
      <c r="B9" s="181" t="s">
        <v>13</v>
      </c>
      <c r="C9" s="178" t="s">
        <v>14</v>
      </c>
      <c r="D9" s="179" t="s">
        <v>15</v>
      </c>
    </row>
    <row r="11" spans="2:4">
      <c r="B11" s="206" t="s">
        <v>16</v>
      </c>
      <c r="C11" s="204"/>
      <c r="D11" s="205"/>
    </row>
    <row r="13" spans="2:4">
      <c r="B13" s="176" t="s">
        <v>17</v>
      </c>
      <c r="C13" s="176" t="s">
        <v>18</v>
      </c>
      <c r="D13" s="176" t="s">
        <v>19</v>
      </c>
    </row>
    <row r="14" spans="2:4" ht="54.95" customHeight="1">
      <c r="B14" s="181" t="s">
        <v>20</v>
      </c>
      <c r="C14" s="178" t="s">
        <v>21</v>
      </c>
      <c r="D14" s="179" t="s">
        <v>22</v>
      </c>
    </row>
    <row r="16" spans="2:4" ht="54.95" customHeight="1">
      <c r="B16" s="181" t="s">
        <v>23</v>
      </c>
      <c r="C16" s="178" t="s">
        <v>24</v>
      </c>
      <c r="D16" s="179" t="s">
        <v>25</v>
      </c>
    </row>
    <row r="18" spans="2:4" ht="54.95" customHeight="1">
      <c r="B18" s="181" t="s">
        <v>26</v>
      </c>
      <c r="C18" s="178" t="s">
        <v>27</v>
      </c>
      <c r="D18" s="179" t="s">
        <v>28</v>
      </c>
    </row>
    <row r="20" spans="2:4" ht="54.95" customHeight="1">
      <c r="B20" s="181" t="s">
        <v>29</v>
      </c>
      <c r="C20" s="178" t="s">
        <v>30</v>
      </c>
      <c r="D20" s="179" t="s">
        <v>31</v>
      </c>
    </row>
    <row r="22" spans="2:4" ht="54.95" customHeight="1">
      <c r="B22" s="181" t="s">
        <v>32</v>
      </c>
      <c r="C22" s="178" t="s">
        <v>33</v>
      </c>
      <c r="D22" s="179" t="s">
        <v>34</v>
      </c>
    </row>
    <row r="24" spans="2:4" ht="54.95" customHeight="1">
      <c r="B24" s="181" t="s">
        <v>35</v>
      </c>
      <c r="C24" s="178" t="s">
        <v>36</v>
      </c>
      <c r="D24" s="179" t="s">
        <v>37</v>
      </c>
    </row>
    <row r="27" spans="2:4">
      <c r="B27" s="206" t="s">
        <v>38</v>
      </c>
      <c r="C27" s="204"/>
      <c r="D27" s="205"/>
    </row>
    <row r="29" spans="2:4">
      <c r="B29" s="6" t="s">
        <v>39</v>
      </c>
      <c r="C29" s="6" t="s">
        <v>40</v>
      </c>
      <c r="D29" s="6" t="s">
        <v>41</v>
      </c>
    </row>
    <row r="30" spans="2:4" ht="84.95" customHeight="1">
      <c r="B30" s="6" t="s">
        <v>42</v>
      </c>
      <c r="C30" s="178" t="s">
        <v>43</v>
      </c>
      <c r="D30" s="178" t="s">
        <v>44</v>
      </c>
    </row>
    <row r="31" spans="2:4" ht="84.95" customHeight="1">
      <c r="B31" s="38" t="s">
        <v>45</v>
      </c>
      <c r="C31" s="178" t="s">
        <v>46</v>
      </c>
      <c r="D31" s="178" t="s">
        <v>47</v>
      </c>
    </row>
    <row r="32" spans="2:4" ht="84.95" customHeight="1">
      <c r="B32" s="38" t="s">
        <v>48</v>
      </c>
      <c r="C32" s="178" t="s">
        <v>49</v>
      </c>
      <c r="D32" s="178" t="s">
        <v>50</v>
      </c>
    </row>
    <row r="33" spans="2:4" ht="84.95" customHeight="1">
      <c r="B33" s="38" t="s">
        <v>51</v>
      </c>
      <c r="C33" s="178" t="s">
        <v>52</v>
      </c>
      <c r="D33" s="178" t="s">
        <v>53</v>
      </c>
    </row>
    <row r="34" spans="2:4" ht="84.95" customHeight="1">
      <c r="B34" s="182" t="s">
        <v>54</v>
      </c>
      <c r="C34" s="178" t="s">
        <v>55</v>
      </c>
      <c r="D34" s="178" t="s">
        <v>56</v>
      </c>
    </row>
    <row r="35" spans="2:4" ht="84.95" customHeight="1">
      <c r="B35" s="182" t="s">
        <v>57</v>
      </c>
      <c r="C35" s="178" t="s">
        <v>58</v>
      </c>
      <c r="D35" s="178" t="s">
        <v>59</v>
      </c>
    </row>
    <row r="36" spans="2:4" ht="84.95" customHeight="1">
      <c r="B36" s="182" t="s">
        <v>60</v>
      </c>
      <c r="C36" s="178" t="s">
        <v>61</v>
      </c>
      <c r="D36" s="178" t="s">
        <v>62</v>
      </c>
    </row>
    <row r="37" spans="2:4" ht="84.95" customHeight="1">
      <c r="B37" s="183" t="s">
        <v>63</v>
      </c>
      <c r="C37" s="178" t="s">
        <v>64</v>
      </c>
      <c r="D37" s="178" t="s">
        <v>65</v>
      </c>
    </row>
    <row r="38" spans="2:4" ht="84.95" customHeight="1">
      <c r="B38" s="183" t="s">
        <v>66</v>
      </c>
      <c r="C38" s="178" t="s">
        <v>67</v>
      </c>
      <c r="D38" s="178" t="s">
        <v>68</v>
      </c>
    </row>
    <row r="39" spans="2:4" ht="84.95" customHeight="1">
      <c r="B39" s="183" t="s">
        <v>69</v>
      </c>
      <c r="C39" s="178" t="s">
        <v>70</v>
      </c>
      <c r="D39" s="178" t="s">
        <v>71</v>
      </c>
    </row>
    <row r="40" spans="2:4" ht="84.95" customHeight="1">
      <c r="B40" s="184" t="s">
        <v>72</v>
      </c>
      <c r="C40" s="178" t="s">
        <v>73</v>
      </c>
      <c r="D40" s="178" t="s">
        <v>74</v>
      </c>
    </row>
    <row r="41" spans="2:4" ht="84.95" customHeight="1">
      <c r="B41" s="184" t="s">
        <v>75</v>
      </c>
      <c r="C41" s="178" t="s">
        <v>76</v>
      </c>
      <c r="D41" s="178" t="s">
        <v>77</v>
      </c>
    </row>
    <row r="42" spans="2:4" ht="84.95" customHeight="1">
      <c r="B42" s="184" t="s">
        <v>78</v>
      </c>
      <c r="C42" s="178" t="s">
        <v>79</v>
      </c>
      <c r="D42" s="178" t="s">
        <v>80</v>
      </c>
    </row>
    <row r="43" spans="2:4" ht="84.95" customHeight="1">
      <c r="B43" s="184" t="s">
        <v>81</v>
      </c>
      <c r="C43" s="178" t="s">
        <v>82</v>
      </c>
      <c r="D43" s="178" t="s">
        <v>83</v>
      </c>
    </row>
    <row r="44" spans="2:4" ht="84.95" customHeight="1">
      <c r="B44" s="185" t="s">
        <v>84</v>
      </c>
      <c r="C44" s="178" t="s">
        <v>85</v>
      </c>
      <c r="D44" s="178" t="s">
        <v>86</v>
      </c>
    </row>
    <row r="45" spans="2:4" ht="84.95" customHeight="1">
      <c r="B45" s="6" t="s">
        <v>87</v>
      </c>
      <c r="C45" s="178" t="s">
        <v>88</v>
      </c>
      <c r="D45" s="178" t="s">
        <v>89</v>
      </c>
    </row>
    <row r="48" spans="2:4">
      <c r="B48" s="206" t="s">
        <v>90</v>
      </c>
      <c r="C48" s="204"/>
      <c r="D48" s="205"/>
    </row>
    <row r="49" spans="2:4">
      <c r="B49" s="187" t="s">
        <v>91</v>
      </c>
      <c r="C49" s="204"/>
      <c r="D49" s="205"/>
    </row>
    <row r="51" spans="2:4">
      <c r="B51" s="6" t="s">
        <v>92</v>
      </c>
      <c r="C51" s="6" t="s">
        <v>93</v>
      </c>
      <c r="D51" s="6" t="s">
        <v>94</v>
      </c>
    </row>
    <row r="52" spans="2:4" ht="69.95" customHeight="1">
      <c r="B52" s="181" t="s">
        <v>95</v>
      </c>
      <c r="C52" s="178" t="s">
        <v>96</v>
      </c>
      <c r="D52" s="179" t="s">
        <v>97</v>
      </c>
    </row>
    <row r="53" spans="2:4" ht="69.95" customHeight="1">
      <c r="B53" s="181" t="s">
        <v>98</v>
      </c>
      <c r="C53" s="178" t="s">
        <v>99</v>
      </c>
      <c r="D53" s="179" t="s">
        <v>100</v>
      </c>
    </row>
    <row r="54" spans="2:4" ht="69.95" customHeight="1">
      <c r="B54" s="181" t="s">
        <v>101</v>
      </c>
      <c r="C54" s="178" t="s">
        <v>102</v>
      </c>
      <c r="D54" s="179" t="s">
        <v>103</v>
      </c>
    </row>
    <row r="55" spans="2:4" ht="69.95" customHeight="1">
      <c r="B55" s="181" t="s">
        <v>104</v>
      </c>
      <c r="C55" s="178" t="s">
        <v>105</v>
      </c>
      <c r="D55" s="179" t="s">
        <v>106</v>
      </c>
    </row>
    <row r="56" spans="2:4" ht="69.95" customHeight="1">
      <c r="B56" s="181" t="s">
        <v>107</v>
      </c>
      <c r="C56" s="178" t="s">
        <v>108</v>
      </c>
      <c r="D56" s="179" t="s">
        <v>109</v>
      </c>
    </row>
    <row r="57" spans="2:4" ht="69.95" customHeight="1">
      <c r="B57" s="181" t="s">
        <v>110</v>
      </c>
      <c r="C57" s="178" t="s">
        <v>111</v>
      </c>
      <c r="D57" s="179" t="s">
        <v>112</v>
      </c>
    </row>
    <row r="58" spans="2:4" ht="69.95" customHeight="1">
      <c r="B58" s="181" t="s">
        <v>113</v>
      </c>
      <c r="C58" s="178" t="s">
        <v>114</v>
      </c>
      <c r="D58" s="179" t="s">
        <v>115</v>
      </c>
    </row>
    <row r="59" spans="2:4" ht="69.95" customHeight="1">
      <c r="B59" s="181" t="s">
        <v>116</v>
      </c>
      <c r="C59" s="178" t="s">
        <v>117</v>
      </c>
      <c r="D59" s="179" t="s">
        <v>118</v>
      </c>
    </row>
    <row r="60" spans="2:4" ht="69.95" customHeight="1">
      <c r="B60" s="181" t="s">
        <v>119</v>
      </c>
      <c r="C60" s="178" t="s">
        <v>120</v>
      </c>
      <c r="D60" s="179" t="s">
        <v>121</v>
      </c>
    </row>
    <row r="61" spans="2:4" ht="69.95" customHeight="1">
      <c r="B61" s="181" t="s">
        <v>122</v>
      </c>
      <c r="C61" s="178" t="s">
        <v>123</v>
      </c>
      <c r="D61" s="179" t="s">
        <v>124</v>
      </c>
    </row>
    <row r="63" spans="2:4">
      <c r="B63" s="206" t="s">
        <v>125</v>
      </c>
      <c r="C63" s="204"/>
      <c r="D63" s="205"/>
    </row>
    <row r="65" spans="2:4">
      <c r="B65" s="38" t="s">
        <v>126</v>
      </c>
      <c r="C65" s="38" t="s">
        <v>127</v>
      </c>
      <c r="D65" s="38" t="s">
        <v>128</v>
      </c>
    </row>
    <row r="66" spans="2:4">
      <c r="B66" s="181" t="s">
        <v>129</v>
      </c>
      <c r="C66" s="186" t="s">
        <v>130</v>
      </c>
      <c r="D66" s="178" t="s">
        <v>131</v>
      </c>
    </row>
    <row r="67" spans="2:4">
      <c r="B67" s="181" t="s">
        <v>132</v>
      </c>
      <c r="C67" s="186" t="s">
        <v>133</v>
      </c>
      <c r="D67" s="178" t="s">
        <v>134</v>
      </c>
    </row>
    <row r="68" spans="2:4">
      <c r="B68" s="181" t="s">
        <v>135</v>
      </c>
      <c r="C68" s="186" t="s">
        <v>136</v>
      </c>
      <c r="D68" s="178" t="s">
        <v>137</v>
      </c>
    </row>
    <row r="69" spans="2:4">
      <c r="B69" s="181" t="s">
        <v>138</v>
      </c>
      <c r="C69" s="186" t="s">
        <v>139</v>
      </c>
      <c r="D69" s="178" t="s">
        <v>140</v>
      </c>
    </row>
    <row r="70" spans="2:4">
      <c r="B70" s="181" t="s">
        <v>141</v>
      </c>
      <c r="C70" s="186" t="s">
        <v>142</v>
      </c>
      <c r="D70" s="178" t="s">
        <v>143</v>
      </c>
    </row>
    <row r="71" spans="2:4">
      <c r="B71" s="181" t="s">
        <v>144</v>
      </c>
      <c r="C71" s="186" t="s">
        <v>145</v>
      </c>
      <c r="D71" s="178" t="s">
        <v>146</v>
      </c>
    </row>
    <row r="72" spans="2:4">
      <c r="B72" s="181" t="s">
        <v>147</v>
      </c>
      <c r="C72" s="186" t="s">
        <v>148</v>
      </c>
      <c r="D72" s="178" t="s">
        <v>149</v>
      </c>
    </row>
    <row r="73" spans="2:4">
      <c r="B73" s="181" t="s">
        <v>150</v>
      </c>
      <c r="C73" s="186" t="s">
        <v>151</v>
      </c>
      <c r="D73" s="178" t="s">
        <v>152</v>
      </c>
    </row>
    <row r="74" spans="2:4">
      <c r="B74" s="181" t="s">
        <v>153</v>
      </c>
      <c r="C74" s="186" t="s">
        <v>154</v>
      </c>
      <c r="D74" s="178" t="s">
        <v>155</v>
      </c>
    </row>
    <row r="75" spans="2:4">
      <c r="B75" s="181" t="s">
        <v>156</v>
      </c>
      <c r="C75" s="186" t="s">
        <v>157</v>
      </c>
      <c r="D75" s="178" t="s">
        <v>158</v>
      </c>
    </row>
    <row r="76" spans="2:4">
      <c r="B76" s="181" t="s">
        <v>159</v>
      </c>
      <c r="C76" s="186" t="s">
        <v>160</v>
      </c>
      <c r="D76" s="178" t="s">
        <v>161</v>
      </c>
    </row>
    <row r="77" spans="2:4">
      <c r="B77" s="181" t="s">
        <v>162</v>
      </c>
      <c r="C77" s="186" t="s">
        <v>163</v>
      </c>
      <c r="D77" s="178" t="s">
        <v>164</v>
      </c>
    </row>
    <row r="79" spans="2:4">
      <c r="B79" s="187" t="s">
        <v>165</v>
      </c>
      <c r="C79" s="204"/>
      <c r="D79" s="205"/>
    </row>
    <row r="80" spans="2:4">
      <c r="B80" s="187" t="s">
        <v>166</v>
      </c>
      <c r="C80" s="204"/>
      <c r="D80" s="205"/>
    </row>
    <row r="81" spans="2:4">
      <c r="B81" s="189" t="s">
        <v>167</v>
      </c>
      <c r="C81" s="204"/>
      <c r="D81" s="205"/>
    </row>
  </sheetData>
  <mergeCells count="10">
    <mergeCell ref="B1:D1"/>
    <mergeCell ref="B49:D49"/>
    <mergeCell ref="B27:D27"/>
    <mergeCell ref="B48:D48"/>
    <mergeCell ref="B81:D81"/>
    <mergeCell ref="B11:D11"/>
    <mergeCell ref="B3:D3"/>
    <mergeCell ref="B80:D80"/>
    <mergeCell ref="B63:D63"/>
    <mergeCell ref="B79:D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P90"/>
  <sheetViews>
    <sheetView showGridLines="0" zoomScale="85" workbookViewId="0">
      <pane xSplit="1" ySplit="5" topLeftCell="B6" activePane="bottomRight" state="frozen"/>
      <selection pane="bottomRight"/>
      <selection pane="bottomLeft"/>
      <selection pane="topRight"/>
    </sheetView>
  </sheetViews>
  <sheetFormatPr defaultRowHeight="15"/>
  <cols>
    <col min="1" max="1" width="38" customWidth="1"/>
    <col min="2" max="13" width="14" customWidth="1"/>
    <col min="14" max="16" width="3" customWidth="1"/>
  </cols>
  <sheetData>
    <row r="1" spans="1:16">
      <c r="A1" s="190" t="s">
        <v>168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</row>
    <row r="2" spans="1:16">
      <c r="A2" s="1" t="s">
        <v>169</v>
      </c>
      <c r="B2" s="156"/>
      <c r="C2" s="156"/>
      <c r="D2" s="156"/>
      <c r="E2" s="156"/>
      <c r="F2" s="156"/>
      <c r="G2" s="156"/>
      <c r="H2" s="2" t="s">
        <v>170</v>
      </c>
      <c r="I2" s="156"/>
      <c r="J2" s="3" t="s">
        <v>171</v>
      </c>
      <c r="K2" s="156"/>
      <c r="L2" s="4" t="s">
        <v>172</v>
      </c>
      <c r="M2" s="156"/>
      <c r="N2" s="5" t="s">
        <v>173</v>
      </c>
      <c r="O2" s="156"/>
      <c r="P2" s="156"/>
    </row>
    <row r="3" spans="1:16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16">
      <c r="A4" s="6"/>
      <c r="B4" s="6" t="s">
        <v>174</v>
      </c>
      <c r="C4" s="6" t="s">
        <v>175</v>
      </c>
      <c r="D4" s="6" t="s">
        <v>176</v>
      </c>
      <c r="E4" s="6" t="s">
        <v>177</v>
      </c>
      <c r="F4" s="6" t="s">
        <v>178</v>
      </c>
      <c r="G4" s="6" t="s">
        <v>179</v>
      </c>
      <c r="H4" s="6" t="s">
        <v>180</v>
      </c>
      <c r="I4" s="6" t="s">
        <v>181</v>
      </c>
      <c r="J4" s="6" t="s">
        <v>182</v>
      </c>
      <c r="K4" s="6" t="s">
        <v>183</v>
      </c>
      <c r="L4" s="6" t="s">
        <v>184</v>
      </c>
      <c r="M4" s="6" t="s">
        <v>185</v>
      </c>
      <c r="N4" s="136"/>
      <c r="O4" s="136"/>
      <c r="P4" s="136"/>
    </row>
    <row r="5" spans="1:16">
      <c r="A5" s="156"/>
      <c r="B5" s="137" t="s">
        <v>186</v>
      </c>
      <c r="C5" s="137" t="s">
        <v>186</v>
      </c>
      <c r="D5" s="137" t="s">
        <v>186</v>
      </c>
      <c r="E5" s="137" t="s">
        <v>186</v>
      </c>
      <c r="F5" s="137" t="s">
        <v>186</v>
      </c>
      <c r="G5" s="137" t="s">
        <v>186</v>
      </c>
      <c r="H5" s="138" t="s">
        <v>187</v>
      </c>
      <c r="I5" s="138" t="s">
        <v>187</v>
      </c>
      <c r="J5" s="138" t="s">
        <v>187</v>
      </c>
      <c r="K5" s="138" t="s">
        <v>187</v>
      </c>
      <c r="L5" s="138" t="s">
        <v>187</v>
      </c>
      <c r="M5" s="138" t="s">
        <v>187</v>
      </c>
      <c r="N5" s="139"/>
      <c r="O5" s="139"/>
      <c r="P5" s="139"/>
    </row>
    <row r="6" spans="1:16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39"/>
      <c r="O6" s="139"/>
      <c r="P6" s="139"/>
    </row>
    <row r="7" spans="1:16">
      <c r="A7" s="95" t="s">
        <v>188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39"/>
      <c r="O7" s="139"/>
      <c r="P7" s="139"/>
    </row>
    <row r="8" spans="1:16">
      <c r="A8" s="3" t="s">
        <v>189</v>
      </c>
      <c r="B8" s="9">
        <v>0.1</v>
      </c>
      <c r="C8" s="9">
        <v>0.05</v>
      </c>
      <c r="D8" s="9">
        <v>0.15</v>
      </c>
      <c r="E8" s="9">
        <v>0.25</v>
      </c>
      <c r="F8" s="9">
        <v>0.4</v>
      </c>
      <c r="G8" s="10">
        <v>0.65</v>
      </c>
      <c r="H8" s="10">
        <v>0.4</v>
      </c>
      <c r="I8" s="10">
        <v>0.2</v>
      </c>
      <c r="J8" s="9">
        <v>0.08</v>
      </c>
      <c r="K8" s="9">
        <v>0.05</v>
      </c>
      <c r="L8" s="9">
        <v>0.03</v>
      </c>
      <c r="M8" s="9">
        <v>0</v>
      </c>
      <c r="N8" s="139"/>
      <c r="O8" s="139"/>
      <c r="P8" s="139"/>
    </row>
    <row r="9" spans="1:16">
      <c r="A9" s="3" t="s">
        <v>190</v>
      </c>
      <c r="B9" s="9">
        <v>0.05</v>
      </c>
      <c r="C9" s="9">
        <v>0.03</v>
      </c>
      <c r="D9" s="9">
        <v>0.1</v>
      </c>
      <c r="E9" s="9">
        <v>0.12</v>
      </c>
      <c r="F9" s="9">
        <v>0.3</v>
      </c>
      <c r="G9" s="10">
        <v>0.78</v>
      </c>
      <c r="H9" s="10">
        <v>0.45</v>
      </c>
      <c r="I9" s="9">
        <v>0.15</v>
      </c>
      <c r="J9" s="9">
        <v>0.05</v>
      </c>
      <c r="K9" s="9">
        <v>0.03</v>
      </c>
      <c r="L9" s="9">
        <v>0</v>
      </c>
      <c r="M9" s="9">
        <v>-0.03</v>
      </c>
      <c r="N9" s="139"/>
      <c r="O9" s="139"/>
      <c r="P9" s="139"/>
    </row>
    <row r="10" spans="1:16">
      <c r="A10" s="3" t="s">
        <v>191</v>
      </c>
      <c r="B10" s="9">
        <v>0.73</v>
      </c>
      <c r="C10" s="9">
        <v>0.76</v>
      </c>
      <c r="D10" s="9">
        <v>0.76</v>
      </c>
      <c r="E10" s="9">
        <v>0.8</v>
      </c>
      <c r="F10" s="9">
        <v>0.79</v>
      </c>
      <c r="G10" s="9">
        <v>0.79</v>
      </c>
      <c r="H10" s="9">
        <v>0.8</v>
      </c>
      <c r="I10" s="9">
        <v>0.8</v>
      </c>
      <c r="J10" s="9">
        <v>0.79</v>
      </c>
      <c r="K10" s="9">
        <v>0.79</v>
      </c>
      <c r="L10" s="9">
        <v>0.78</v>
      </c>
      <c r="M10" s="9">
        <v>0.78</v>
      </c>
      <c r="N10" s="139"/>
      <c r="O10" s="139"/>
      <c r="P10" s="139"/>
    </row>
    <row r="11" spans="1:16">
      <c r="A11" s="11" t="s">
        <v>192</v>
      </c>
      <c r="B11" s="12">
        <v>5</v>
      </c>
      <c r="C11" s="12">
        <v>5.2</v>
      </c>
      <c r="D11" s="12">
        <v>5.5</v>
      </c>
      <c r="E11" s="12">
        <v>5.8</v>
      </c>
      <c r="F11" s="12">
        <v>6</v>
      </c>
      <c r="G11" s="12">
        <v>6.2</v>
      </c>
      <c r="H11" s="12">
        <v>6</v>
      </c>
      <c r="I11" s="13">
        <v>5.5</v>
      </c>
      <c r="J11" s="13">
        <v>5</v>
      </c>
      <c r="K11" s="13">
        <v>4.5</v>
      </c>
      <c r="L11" s="13">
        <v>4.2</v>
      </c>
      <c r="M11" s="13">
        <v>4</v>
      </c>
      <c r="N11" s="139"/>
      <c r="O11" s="139"/>
      <c r="P11" s="139"/>
    </row>
    <row r="12" spans="1:16">
      <c r="A12" s="11" t="s">
        <v>193</v>
      </c>
      <c r="B12" s="10">
        <v>0.12</v>
      </c>
      <c r="C12" s="10">
        <v>0.15</v>
      </c>
      <c r="D12" s="10">
        <v>0.18</v>
      </c>
      <c r="E12" s="10">
        <v>0.22</v>
      </c>
      <c r="F12" s="10">
        <v>0.28000000000000003</v>
      </c>
      <c r="G12" s="10">
        <v>0.32</v>
      </c>
      <c r="H12" s="10">
        <v>0.35</v>
      </c>
      <c r="I12" s="9">
        <v>0.38</v>
      </c>
      <c r="J12" s="9">
        <v>0.4</v>
      </c>
      <c r="K12" s="9">
        <v>0.42</v>
      </c>
      <c r="L12" s="9">
        <v>0.43</v>
      </c>
      <c r="M12" s="9">
        <v>0.44</v>
      </c>
      <c r="N12" s="139"/>
      <c r="O12" s="139"/>
      <c r="P12" s="139"/>
    </row>
    <row r="13" spans="1:16">
      <c r="A13" s="51" t="s">
        <v>194</v>
      </c>
      <c r="B13" s="31" t="s">
        <v>195</v>
      </c>
      <c r="C13" s="31" t="s">
        <v>195</v>
      </c>
      <c r="D13" s="31" t="s">
        <v>195</v>
      </c>
      <c r="E13" s="31" t="s">
        <v>195</v>
      </c>
      <c r="F13" s="100">
        <v>1</v>
      </c>
      <c r="G13" s="100">
        <v>2</v>
      </c>
      <c r="H13" s="141">
        <v>2.6</v>
      </c>
      <c r="I13" s="141">
        <v>3</v>
      </c>
      <c r="J13" s="156"/>
      <c r="K13" s="156"/>
      <c r="L13" s="156"/>
      <c r="M13" s="156"/>
      <c r="N13" s="139"/>
      <c r="O13" s="139"/>
      <c r="P13" s="139"/>
    </row>
    <row r="14" spans="1:16">
      <c r="A14" s="95" t="s">
        <v>196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39"/>
      <c r="O14" s="139"/>
      <c r="P14" s="139"/>
    </row>
    <row r="15" spans="1:16">
      <c r="A15" s="14" t="s">
        <v>197</v>
      </c>
      <c r="B15" s="10">
        <v>0.39500000000000002</v>
      </c>
      <c r="C15" s="10">
        <v>0.36799999999999999</v>
      </c>
      <c r="D15" s="10">
        <v>0.377</v>
      </c>
      <c r="E15" s="10">
        <v>0.44700000000000001</v>
      </c>
      <c r="F15" s="10">
        <v>0.56799999999999995</v>
      </c>
      <c r="G15" s="10">
        <v>0.75</v>
      </c>
      <c r="H15" s="10">
        <v>0.81</v>
      </c>
      <c r="I15" s="9">
        <v>0.78</v>
      </c>
      <c r="J15" s="9">
        <v>0.72</v>
      </c>
      <c r="K15" s="9">
        <v>0.68</v>
      </c>
      <c r="L15" s="9">
        <v>0.65</v>
      </c>
      <c r="M15" s="9">
        <v>0.63</v>
      </c>
      <c r="N15" s="139"/>
      <c r="O15" s="139"/>
      <c r="P15" s="139"/>
    </row>
    <row r="16" spans="1:16">
      <c r="A16" s="3" t="s">
        <v>198</v>
      </c>
      <c r="B16" s="9">
        <v>-0.04</v>
      </c>
      <c r="C16" s="9">
        <v>-0.04</v>
      </c>
      <c r="D16" s="9">
        <v>-0.05</v>
      </c>
      <c r="E16" s="9">
        <v>-0.06</v>
      </c>
      <c r="F16" s="9">
        <v>-7.0000000000000007E-2</v>
      </c>
      <c r="G16" s="9">
        <v>-7.0000000000000007E-2</v>
      </c>
      <c r="H16" s="9">
        <v>-0.06</v>
      </c>
      <c r="I16" s="9">
        <v>-0.05</v>
      </c>
      <c r="J16" s="9">
        <v>-0.05</v>
      </c>
      <c r="K16" s="9">
        <v>-0.04</v>
      </c>
      <c r="L16" s="9">
        <v>-0.04</v>
      </c>
      <c r="M16" s="9">
        <v>-0.03</v>
      </c>
      <c r="N16" s="139"/>
      <c r="O16" s="139"/>
      <c r="P16" s="139"/>
    </row>
    <row r="17" spans="1:16">
      <c r="A17" s="3" t="s">
        <v>199</v>
      </c>
      <c r="B17" s="9">
        <v>0.115</v>
      </c>
      <c r="C17" s="9">
        <v>0.12</v>
      </c>
      <c r="D17" s="9">
        <v>0.11</v>
      </c>
      <c r="E17" s="9">
        <v>9.5000000000000001E-2</v>
      </c>
      <c r="F17" s="9">
        <v>8.5000000000000006E-2</v>
      </c>
      <c r="G17" s="9">
        <v>5.5E-2</v>
      </c>
      <c r="H17" s="9">
        <v>4.4999999999999998E-2</v>
      </c>
      <c r="I17" s="9">
        <v>4.8000000000000001E-2</v>
      </c>
      <c r="J17" s="9">
        <v>5.5E-2</v>
      </c>
      <c r="K17" s="9">
        <v>5.8000000000000003E-2</v>
      </c>
      <c r="L17" s="9">
        <v>0.06</v>
      </c>
      <c r="M17" s="9">
        <v>6.2E-2</v>
      </c>
      <c r="N17" s="139"/>
      <c r="O17" s="139"/>
      <c r="P17" s="139"/>
    </row>
    <row r="18" spans="1:16">
      <c r="A18" s="3" t="s">
        <v>200</v>
      </c>
      <c r="B18" s="9">
        <v>0.04</v>
      </c>
      <c r="C18" s="9">
        <v>4.2000000000000003E-2</v>
      </c>
      <c r="D18" s="9">
        <v>3.7999999999999999E-2</v>
      </c>
      <c r="E18" s="9">
        <v>3.2000000000000001E-2</v>
      </c>
      <c r="F18" s="9">
        <v>2.8000000000000001E-2</v>
      </c>
      <c r="G18" s="9">
        <v>0.02</v>
      </c>
      <c r="H18" s="9">
        <v>1.7999999999999999E-2</v>
      </c>
      <c r="I18" s="9">
        <v>0.02</v>
      </c>
      <c r="J18" s="9">
        <v>2.5000000000000001E-2</v>
      </c>
      <c r="K18" s="9">
        <v>2.7E-2</v>
      </c>
      <c r="L18" s="9">
        <v>2.8000000000000001E-2</v>
      </c>
      <c r="M18" s="9">
        <v>0.03</v>
      </c>
      <c r="N18" s="139"/>
      <c r="O18" s="139"/>
      <c r="P18" s="139"/>
    </row>
    <row r="19" spans="1:16">
      <c r="A19" s="3" t="s">
        <v>201</v>
      </c>
      <c r="B19" s="9">
        <v>0.115</v>
      </c>
      <c r="C19" s="9">
        <v>0.115</v>
      </c>
      <c r="D19" s="9">
        <v>0.115</v>
      </c>
      <c r="E19" s="9">
        <v>0.115</v>
      </c>
      <c r="F19" s="9">
        <v>0.151</v>
      </c>
      <c r="G19" s="9">
        <v>0.151</v>
      </c>
      <c r="H19" s="9">
        <v>0.151</v>
      </c>
      <c r="I19" s="9">
        <v>0.151</v>
      </c>
      <c r="J19" s="9">
        <v>0.151</v>
      </c>
      <c r="K19" s="9">
        <v>0.151</v>
      </c>
      <c r="L19" s="9">
        <v>0.151</v>
      </c>
      <c r="M19" s="9">
        <v>0.151</v>
      </c>
      <c r="N19" s="139"/>
      <c r="O19" s="139"/>
      <c r="P19" s="139"/>
    </row>
    <row r="20" spans="1:16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39"/>
      <c r="O20" s="139"/>
      <c r="P20" s="139"/>
    </row>
    <row r="21" spans="1:16">
      <c r="A21" s="95" t="s">
        <v>202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39"/>
      <c r="O21" s="139"/>
      <c r="P21" s="139"/>
    </row>
    <row r="22" spans="1:16">
      <c r="A22" s="15" t="s">
        <v>203</v>
      </c>
      <c r="B22" s="16">
        <v>3.1</v>
      </c>
      <c r="C22" s="16">
        <v>3.3</v>
      </c>
      <c r="D22" s="16">
        <v>3.5</v>
      </c>
      <c r="E22" s="16">
        <v>3.8</v>
      </c>
      <c r="F22" s="16">
        <v>4.5</v>
      </c>
      <c r="G22" s="16">
        <v>5</v>
      </c>
      <c r="H22" s="17">
        <v>7</v>
      </c>
      <c r="I22" s="16">
        <v>8.5</v>
      </c>
      <c r="J22" s="16">
        <v>9</v>
      </c>
      <c r="K22" s="16">
        <v>9.5</v>
      </c>
      <c r="L22" s="16">
        <v>10</v>
      </c>
      <c r="M22" s="16">
        <v>10.5</v>
      </c>
      <c r="N22" s="139"/>
      <c r="O22" s="139"/>
      <c r="P22" s="139"/>
    </row>
    <row r="23" spans="1:16">
      <c r="A23" s="3" t="s">
        <v>204</v>
      </c>
      <c r="B23" s="16">
        <v>0.3</v>
      </c>
      <c r="C23" s="16">
        <v>0.3</v>
      </c>
      <c r="D23" s="16">
        <v>0.3</v>
      </c>
      <c r="E23" s="16">
        <v>0.3</v>
      </c>
      <c r="F23" s="16">
        <v>0.3</v>
      </c>
      <c r="G23" s="16">
        <v>0.3</v>
      </c>
      <c r="H23" s="16">
        <v>0.3</v>
      </c>
      <c r="I23" s="16">
        <v>0.3</v>
      </c>
      <c r="J23" s="16">
        <v>0.3</v>
      </c>
      <c r="K23" s="16">
        <v>0.3</v>
      </c>
      <c r="L23" s="16">
        <v>0.3</v>
      </c>
      <c r="M23" s="16">
        <v>0.3</v>
      </c>
      <c r="N23" s="139"/>
      <c r="O23" s="139"/>
      <c r="P23" s="139"/>
    </row>
    <row r="24" spans="1:16">
      <c r="A24" s="3" t="s">
        <v>205</v>
      </c>
      <c r="B24" s="18">
        <v>0</v>
      </c>
      <c r="C24" s="18">
        <v>0</v>
      </c>
      <c r="D24" s="18">
        <v>0</v>
      </c>
      <c r="E24" s="18">
        <v>0</v>
      </c>
      <c r="F24" s="56">
        <v>300</v>
      </c>
      <c r="G24" s="56">
        <v>350</v>
      </c>
      <c r="H24" s="56">
        <v>350</v>
      </c>
      <c r="I24" s="18">
        <v>350</v>
      </c>
      <c r="J24" s="56">
        <v>1500</v>
      </c>
      <c r="K24" s="18">
        <v>2500</v>
      </c>
      <c r="L24" s="18">
        <v>3000</v>
      </c>
      <c r="M24" s="18">
        <v>3000</v>
      </c>
      <c r="N24" s="139"/>
      <c r="O24" s="139"/>
      <c r="P24" s="139"/>
    </row>
    <row r="25" spans="1:16">
      <c r="A25" s="3" t="s">
        <v>206</v>
      </c>
      <c r="B25" s="19">
        <v>0.115</v>
      </c>
      <c r="C25" s="19">
        <v>0.115</v>
      </c>
      <c r="D25" s="19">
        <v>0.115</v>
      </c>
      <c r="E25" s="19">
        <v>0.115</v>
      </c>
      <c r="F25" s="19">
        <v>0.115</v>
      </c>
      <c r="G25" s="19">
        <v>0.15</v>
      </c>
      <c r="H25" s="19">
        <v>0.15</v>
      </c>
      <c r="I25" s="19">
        <v>0.15</v>
      </c>
      <c r="J25" s="19">
        <v>0.17499999999999999</v>
      </c>
      <c r="K25" s="19">
        <v>0.17499999999999999</v>
      </c>
      <c r="L25" s="19">
        <v>0.17499999999999999</v>
      </c>
      <c r="M25" s="19">
        <v>0.17499999999999999</v>
      </c>
      <c r="N25" s="139"/>
      <c r="O25" s="139"/>
      <c r="P25" s="139"/>
    </row>
    <row r="26" spans="1:16">
      <c r="A26" s="3" t="s">
        <v>207</v>
      </c>
      <c r="B26" s="18">
        <v>1118</v>
      </c>
      <c r="C26" s="18">
        <v>1120</v>
      </c>
      <c r="D26" s="18">
        <v>1125</v>
      </c>
      <c r="E26" s="18">
        <v>1131</v>
      </c>
      <c r="F26" s="18">
        <v>1138</v>
      </c>
      <c r="G26" s="18">
        <v>1142</v>
      </c>
      <c r="H26" s="18">
        <v>1145</v>
      </c>
      <c r="I26" s="18">
        <v>1148</v>
      </c>
      <c r="J26" s="56">
        <v>1140</v>
      </c>
      <c r="K26" s="18">
        <v>1130</v>
      </c>
      <c r="L26" s="18">
        <v>1118</v>
      </c>
      <c r="M26" s="18">
        <v>1105</v>
      </c>
      <c r="N26" s="139"/>
      <c r="O26" s="139"/>
      <c r="P26" s="139"/>
    </row>
    <row r="27" spans="1:16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39"/>
      <c r="O27" s="139"/>
      <c r="P27" s="139"/>
    </row>
    <row r="28" spans="1:16">
      <c r="A28" s="95" t="s">
        <v>208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39"/>
      <c r="O28" s="139"/>
      <c r="P28" s="139"/>
    </row>
    <row r="29" spans="1:16">
      <c r="A29" s="14" t="s">
        <v>209</v>
      </c>
      <c r="B29" s="20">
        <v>366</v>
      </c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39"/>
      <c r="O29" s="139"/>
      <c r="P29" s="139"/>
    </row>
    <row r="30" spans="1:16">
      <c r="A30" s="21" t="s">
        <v>210</v>
      </c>
      <c r="B30" s="10">
        <v>0.25</v>
      </c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39"/>
      <c r="O30" s="139"/>
      <c r="P30" s="139"/>
    </row>
    <row r="31" spans="1:16">
      <c r="A31" s="22" t="s">
        <v>211</v>
      </c>
      <c r="B31" s="10">
        <v>0.45</v>
      </c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39"/>
      <c r="O31" s="139"/>
      <c r="P31" s="139"/>
    </row>
    <row r="32" spans="1:16">
      <c r="A32" s="23" t="s">
        <v>212</v>
      </c>
      <c r="B32" s="10">
        <v>0.2</v>
      </c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39"/>
      <c r="O32" s="139"/>
      <c r="P32" s="139"/>
    </row>
    <row r="33" spans="1:16">
      <c r="A33" s="24" t="s">
        <v>213</v>
      </c>
      <c r="B33" s="10">
        <v>0.1</v>
      </c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39"/>
      <c r="O33" s="139"/>
      <c r="P33" s="139"/>
    </row>
    <row r="34" spans="1:16">
      <c r="A34" s="15" t="s">
        <v>214</v>
      </c>
      <c r="B34" s="25">
        <f>SUM(B30:B33)</f>
        <v>0.99999999999999989</v>
      </c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39"/>
      <c r="O34" s="139"/>
      <c r="P34" s="139"/>
    </row>
    <row r="35" spans="1:16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39"/>
      <c r="O35" s="139"/>
      <c r="P35" s="139"/>
    </row>
    <row r="36" spans="1:16">
      <c r="A36" s="21" t="s">
        <v>215</v>
      </c>
      <c r="B36" s="12">
        <v>16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39"/>
      <c r="O36" s="139"/>
      <c r="P36" s="139"/>
    </row>
    <row r="37" spans="1:16">
      <c r="A37" s="22" t="s">
        <v>216</v>
      </c>
      <c r="B37" s="12">
        <v>12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39"/>
      <c r="O37" s="139"/>
      <c r="P37" s="139"/>
    </row>
    <row r="38" spans="1:16">
      <c r="A38" s="23" t="s">
        <v>217</v>
      </c>
      <c r="B38" s="12">
        <v>8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39"/>
      <c r="O38" s="139"/>
      <c r="P38" s="139"/>
    </row>
    <row r="39" spans="1:16">
      <c r="A39" s="24" t="s">
        <v>218</v>
      </c>
      <c r="B39" s="12">
        <v>6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39"/>
      <c r="O39" s="139"/>
      <c r="P39" s="139"/>
    </row>
    <row r="40" spans="1:16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39"/>
      <c r="O40" s="139"/>
      <c r="P40" s="139"/>
    </row>
    <row r="41" spans="1:16">
      <c r="A41" s="95" t="s">
        <v>219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39"/>
      <c r="O41" s="139"/>
      <c r="P41" s="139"/>
    </row>
    <row r="42" spans="1:16">
      <c r="A42" s="21" t="s">
        <v>220</v>
      </c>
      <c r="B42" s="26">
        <v>60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39"/>
      <c r="O42" s="139"/>
      <c r="P42" s="139"/>
    </row>
    <row r="43" spans="1:16">
      <c r="A43" s="22" t="s">
        <v>221</v>
      </c>
      <c r="B43" s="26">
        <v>48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39"/>
      <c r="O43" s="139"/>
      <c r="P43" s="139"/>
    </row>
    <row r="44" spans="1:16">
      <c r="A44" s="23" t="s">
        <v>222</v>
      </c>
      <c r="B44" s="26">
        <v>30</v>
      </c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39"/>
      <c r="O44" s="139"/>
      <c r="P44" s="139"/>
    </row>
    <row r="45" spans="1:16">
      <c r="A45" s="24" t="s">
        <v>223</v>
      </c>
      <c r="B45" s="26">
        <v>12</v>
      </c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39"/>
      <c r="O45" s="139"/>
      <c r="P45" s="139"/>
    </row>
    <row r="46" spans="1:16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39"/>
      <c r="O46" s="139"/>
      <c r="P46" s="139"/>
    </row>
    <row r="47" spans="1:16">
      <c r="A47" s="27" t="s">
        <v>224</v>
      </c>
      <c r="B47" s="28">
        <f>B30*B42*B36 + B31*B43*B37 + B32*B44*B38 + B33*B45*B39</f>
        <v>554.40000000000009</v>
      </c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39"/>
      <c r="O47" s="139"/>
      <c r="P47" s="139"/>
    </row>
    <row r="48" spans="1:16">
      <c r="A48" s="15" t="s">
        <v>225</v>
      </c>
      <c r="B48" s="29">
        <f>(B47-B29)/B29</f>
        <v>0.514754098360656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39"/>
      <c r="O48" s="139"/>
      <c r="P48" s="139"/>
    </row>
    <row r="49" spans="1:16">
      <c r="A49" s="95" t="s">
        <v>226</v>
      </c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39"/>
      <c r="P49" s="139"/>
    </row>
    <row r="50" spans="1:16">
      <c r="A50" s="158" t="s">
        <v>227</v>
      </c>
      <c r="B50" s="159">
        <v>-5.0000000000000001E-3</v>
      </c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6"/>
      <c r="P50" s="156"/>
    </row>
    <row r="51" spans="1:16">
      <c r="A51" s="158" t="s">
        <v>228</v>
      </c>
      <c r="B51" s="160" t="s">
        <v>229</v>
      </c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6"/>
      <c r="P51" s="156"/>
    </row>
    <row r="52" spans="1:16">
      <c r="A52" s="158" t="s">
        <v>230</v>
      </c>
      <c r="B52" s="161" t="s">
        <v>231</v>
      </c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6"/>
      <c r="P52" s="156"/>
    </row>
    <row r="53" spans="1:16">
      <c r="A53" s="157"/>
      <c r="B53" s="162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6"/>
      <c r="P53" s="156"/>
    </row>
    <row r="54" spans="1:16">
      <c r="A54" s="95" t="s">
        <v>232</v>
      </c>
      <c r="B54" s="163" t="s">
        <v>174</v>
      </c>
      <c r="C54" s="163" t="s">
        <v>175</v>
      </c>
      <c r="D54" s="163" t="s">
        <v>176</v>
      </c>
      <c r="E54" s="163" t="s">
        <v>177</v>
      </c>
      <c r="F54" s="163" t="s">
        <v>178</v>
      </c>
      <c r="G54" s="163" t="s">
        <v>179</v>
      </c>
      <c r="H54" s="163" t="s">
        <v>180</v>
      </c>
      <c r="I54" s="163" t="s">
        <v>181</v>
      </c>
      <c r="J54" s="163" t="s">
        <v>182</v>
      </c>
      <c r="K54" s="163" t="s">
        <v>183</v>
      </c>
      <c r="L54" s="163" t="s">
        <v>184</v>
      </c>
      <c r="M54" s="163" t="s">
        <v>185</v>
      </c>
      <c r="N54" s="157"/>
      <c r="O54" s="156"/>
      <c r="P54" s="156"/>
    </row>
    <row r="55" spans="1:16">
      <c r="A55" s="158" t="s">
        <v>233</v>
      </c>
      <c r="B55" s="164">
        <v>8710</v>
      </c>
      <c r="C55" s="164">
        <v>8053</v>
      </c>
      <c r="D55" s="164">
        <v>9301</v>
      </c>
      <c r="E55" s="164">
        <v>11315</v>
      </c>
      <c r="F55" s="164">
        <v>13640</v>
      </c>
      <c r="G55" s="164">
        <v>23860</v>
      </c>
      <c r="H55" s="164">
        <v>33500</v>
      </c>
      <c r="I55" s="164">
        <v>35000</v>
      </c>
      <c r="J55" s="164">
        <v>32000</v>
      </c>
      <c r="K55" s="164">
        <v>31000</v>
      </c>
      <c r="L55" s="164">
        <v>28000</v>
      </c>
      <c r="M55" s="164">
        <v>27500</v>
      </c>
      <c r="N55" s="157"/>
      <c r="O55" s="156"/>
      <c r="P55" s="156"/>
    </row>
    <row r="56" spans="1:16">
      <c r="A56" s="158" t="s">
        <v>234</v>
      </c>
      <c r="B56" s="165">
        <f>SUM(B55:E55)</f>
        <v>37379</v>
      </c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6"/>
      <c r="P56" s="156"/>
    </row>
    <row r="57" spans="1:16">
      <c r="A57" s="158" t="s">
        <v>144</v>
      </c>
      <c r="B57" s="165">
        <f>SUM(F55:I55)</f>
        <v>106000</v>
      </c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6"/>
      <c r="P57" s="156"/>
    </row>
    <row r="58" spans="1:16">
      <c r="A58" s="158" t="s">
        <v>235</v>
      </c>
      <c r="B58" s="165">
        <f>SUM(J55:M55)</f>
        <v>118500</v>
      </c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6"/>
      <c r="P58" s="156"/>
    </row>
    <row r="59" spans="1:16">
      <c r="A59" s="157"/>
      <c r="B59" s="166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6"/>
      <c r="P59" s="156"/>
    </row>
    <row r="60" spans="1:16">
      <c r="A60" s="157" t="s">
        <v>236</v>
      </c>
      <c r="B60" s="167">
        <f>B55*B10</f>
        <v>6358.3</v>
      </c>
      <c r="C60" s="167">
        <f>C55*C10</f>
        <v>6120.28</v>
      </c>
      <c r="D60" s="167">
        <f>D55*D10</f>
        <v>7068.76</v>
      </c>
      <c r="E60" s="167">
        <f>E55*E10</f>
        <v>9052</v>
      </c>
      <c r="F60" s="167">
        <f>F55*F10</f>
        <v>10775.6</v>
      </c>
      <c r="G60" s="167">
        <f>G55*G10</f>
        <v>18849.400000000001</v>
      </c>
      <c r="H60" s="167">
        <f>H55*H10</f>
        <v>26800</v>
      </c>
      <c r="I60" s="167">
        <f>I55*I10</f>
        <v>28000</v>
      </c>
      <c r="J60" s="167">
        <f>J55*J10</f>
        <v>25280</v>
      </c>
      <c r="K60" s="167">
        <f>K55*K10</f>
        <v>24490</v>
      </c>
      <c r="L60" s="167">
        <f>L55*L10</f>
        <v>21840</v>
      </c>
      <c r="M60" s="167">
        <f>M55*M10</f>
        <v>21450</v>
      </c>
      <c r="N60" s="157"/>
      <c r="O60" s="156"/>
      <c r="P60" s="156"/>
    </row>
    <row r="61" spans="1:16">
      <c r="A61" s="157" t="s">
        <v>237</v>
      </c>
      <c r="B61" s="167">
        <f>B55-B60</f>
        <v>2351.6999999999998</v>
      </c>
      <c r="C61" s="167">
        <f>C55-C60</f>
        <v>1932.7200000000003</v>
      </c>
      <c r="D61" s="167">
        <f>D55-D60</f>
        <v>2232.2399999999998</v>
      </c>
      <c r="E61" s="167">
        <f>E55-E60</f>
        <v>2263</v>
      </c>
      <c r="F61" s="167">
        <f>F55-F60</f>
        <v>2864.3999999999996</v>
      </c>
      <c r="G61" s="167">
        <f>G55-G60</f>
        <v>5010.5999999999985</v>
      </c>
      <c r="H61" s="167">
        <f>H55-H60</f>
        <v>6700</v>
      </c>
      <c r="I61" s="167">
        <f>I55-I60</f>
        <v>7000</v>
      </c>
      <c r="J61" s="167">
        <f>J55-J60</f>
        <v>6720</v>
      </c>
      <c r="K61" s="167">
        <f>K55-K60</f>
        <v>6510</v>
      </c>
      <c r="L61" s="167">
        <f>L55-L60</f>
        <v>6160</v>
      </c>
      <c r="M61" s="167">
        <f>M55-M60</f>
        <v>6050</v>
      </c>
      <c r="N61" s="157"/>
      <c r="O61" s="156"/>
      <c r="P61" s="156"/>
    </row>
    <row r="62" spans="1:16">
      <c r="A62" s="157" t="s">
        <v>238</v>
      </c>
      <c r="B62" s="167">
        <f>B60*B12</f>
        <v>762.99599999999998</v>
      </c>
      <c r="C62" s="167">
        <f>C60*C12</f>
        <v>918.04199999999992</v>
      </c>
      <c r="D62" s="167">
        <f>D60*D12</f>
        <v>1272.3768</v>
      </c>
      <c r="E62" s="167">
        <f>E60*E12</f>
        <v>1991.44</v>
      </c>
      <c r="F62" s="167">
        <f>F60*F12</f>
        <v>3017.1680000000006</v>
      </c>
      <c r="G62" s="167">
        <f>G60*G12</f>
        <v>6031.8080000000009</v>
      </c>
      <c r="H62" s="167">
        <f>H60*H12</f>
        <v>9380</v>
      </c>
      <c r="I62" s="167">
        <f>I60*I12</f>
        <v>10640</v>
      </c>
      <c r="J62" s="167">
        <f>J60*J12</f>
        <v>10112</v>
      </c>
      <c r="K62" s="167">
        <f>K60*K12</f>
        <v>10285.799999999999</v>
      </c>
      <c r="L62" s="167">
        <f>L60*L12</f>
        <v>9391.2000000000007</v>
      </c>
      <c r="M62" s="167">
        <f>M60*M12</f>
        <v>9438</v>
      </c>
      <c r="N62" s="157"/>
      <c r="O62" s="156"/>
      <c r="P62" s="156"/>
    </row>
    <row r="63" spans="1:16">
      <c r="A63" s="157" t="s">
        <v>239</v>
      </c>
      <c r="B63" s="167">
        <f>B55*B15</f>
        <v>3440.4500000000003</v>
      </c>
      <c r="C63" s="167">
        <f>C55*C15</f>
        <v>2963.5039999999999</v>
      </c>
      <c r="D63" s="167">
        <f>D55*D15</f>
        <v>3506.4769999999999</v>
      </c>
      <c r="E63" s="167">
        <f>E55*E15</f>
        <v>5057.8050000000003</v>
      </c>
      <c r="F63" s="167">
        <f>F55*F15</f>
        <v>7747.5199999999995</v>
      </c>
      <c r="G63" s="167">
        <f>G55*G15</f>
        <v>17895</v>
      </c>
      <c r="H63" s="167">
        <f>H55*H15</f>
        <v>27135</v>
      </c>
      <c r="I63" s="167">
        <f>I55*I15</f>
        <v>27300</v>
      </c>
      <c r="J63" s="167">
        <f>J55*J15</f>
        <v>23040</v>
      </c>
      <c r="K63" s="167">
        <f>K55*K15</f>
        <v>21080</v>
      </c>
      <c r="L63" s="167">
        <f>L55*L15</f>
        <v>18200</v>
      </c>
      <c r="M63" s="167">
        <f>M55*M15</f>
        <v>17325</v>
      </c>
      <c r="N63" s="157"/>
      <c r="O63" s="156"/>
      <c r="P63" s="156"/>
    </row>
    <row r="64" spans="1:16">
      <c r="A64" s="157" t="s">
        <v>240</v>
      </c>
      <c r="B64" s="167">
        <f>B55*B17</f>
        <v>1001.6500000000001</v>
      </c>
      <c r="C64" s="167">
        <f>C55*C17</f>
        <v>966.36</v>
      </c>
      <c r="D64" s="167">
        <f>D55*D17</f>
        <v>1023.11</v>
      </c>
      <c r="E64" s="167">
        <f>E55*E17</f>
        <v>1074.925</v>
      </c>
      <c r="F64" s="167">
        <f>F55*F17</f>
        <v>1159.4000000000001</v>
      </c>
      <c r="G64" s="167">
        <f>G55*G17</f>
        <v>1312.3</v>
      </c>
      <c r="H64" s="167">
        <f>H55*H17</f>
        <v>1507.5</v>
      </c>
      <c r="I64" s="167">
        <f>I55*I17</f>
        <v>1680</v>
      </c>
      <c r="J64" s="167">
        <f>J55*J17</f>
        <v>1760</v>
      </c>
      <c r="K64" s="167">
        <f>K55*K17</f>
        <v>1798</v>
      </c>
      <c r="L64" s="167">
        <f>L55*L17</f>
        <v>1680</v>
      </c>
      <c r="M64" s="167">
        <f>M55*M17</f>
        <v>1705</v>
      </c>
      <c r="N64" s="157"/>
      <c r="O64" s="156"/>
      <c r="P64" s="156"/>
    </row>
    <row r="65" spans="1:16">
      <c r="A65" s="157" t="s">
        <v>241</v>
      </c>
      <c r="B65" s="167">
        <f>B55*B18</f>
        <v>348.40000000000003</v>
      </c>
      <c r="C65" s="167">
        <f>C55*C18</f>
        <v>338.226</v>
      </c>
      <c r="D65" s="167">
        <f>D55*D18</f>
        <v>353.43799999999999</v>
      </c>
      <c r="E65" s="167">
        <f>E55*E18</f>
        <v>362.08</v>
      </c>
      <c r="F65" s="167">
        <f>F55*F18</f>
        <v>381.92</v>
      </c>
      <c r="G65" s="167">
        <f>G55*G18</f>
        <v>477.2</v>
      </c>
      <c r="H65" s="167">
        <f>H55*H18</f>
        <v>603</v>
      </c>
      <c r="I65" s="167">
        <f>I55*I18</f>
        <v>700</v>
      </c>
      <c r="J65" s="167">
        <f>J55*J18</f>
        <v>800</v>
      </c>
      <c r="K65" s="167">
        <f>K55*K18</f>
        <v>837</v>
      </c>
      <c r="L65" s="167">
        <f>L55*L18</f>
        <v>784</v>
      </c>
      <c r="M65" s="167">
        <f>M55*M18</f>
        <v>825</v>
      </c>
      <c r="N65" s="157"/>
      <c r="O65" s="156"/>
      <c r="P65" s="156"/>
    </row>
    <row r="66" spans="1:16">
      <c r="A66" s="158" t="s">
        <v>242</v>
      </c>
      <c r="B66" s="168">
        <f>B63-B64-B65</f>
        <v>2090.4</v>
      </c>
      <c r="C66" s="168">
        <f>C63-C64-C65</f>
        <v>1658.9179999999997</v>
      </c>
      <c r="D66" s="168">
        <f>D63-D64-D65</f>
        <v>2129.9289999999996</v>
      </c>
      <c r="E66" s="168">
        <f>E63-E64-E65</f>
        <v>3620.8</v>
      </c>
      <c r="F66" s="168">
        <f>F63-F64-F65</f>
        <v>6206.1999999999989</v>
      </c>
      <c r="G66" s="168">
        <f>G63-G64-G65</f>
        <v>16105.5</v>
      </c>
      <c r="H66" s="168">
        <f>H63-H64-H65</f>
        <v>25024.5</v>
      </c>
      <c r="I66" s="168">
        <f>I63-I64-I65</f>
        <v>24920</v>
      </c>
      <c r="J66" s="168">
        <f>J63-J64-J65</f>
        <v>20480</v>
      </c>
      <c r="K66" s="168">
        <f>K63-K64-K65</f>
        <v>18445</v>
      </c>
      <c r="L66" s="168">
        <f>L63-L64-L65</f>
        <v>15736</v>
      </c>
      <c r="M66" s="168">
        <f>M63-M64-M65</f>
        <v>14795</v>
      </c>
      <c r="N66" s="157"/>
      <c r="O66" s="156"/>
      <c r="P66" s="156"/>
    </row>
    <row r="67" spans="1:16">
      <c r="A67" s="158" t="s">
        <v>243</v>
      </c>
      <c r="B67" s="168">
        <f>B66*(1-B19)</f>
        <v>1850.0040000000001</v>
      </c>
      <c r="C67" s="168">
        <f>C66*(1-C19)</f>
        <v>1468.1424299999996</v>
      </c>
      <c r="D67" s="168">
        <f>D66*(1-D19)</f>
        <v>1884.9871649999998</v>
      </c>
      <c r="E67" s="168">
        <f>E66*(1-E19)</f>
        <v>3204.4080000000004</v>
      </c>
      <c r="F67" s="168">
        <f>F66*(1-F19)</f>
        <v>5269.063799999999</v>
      </c>
      <c r="G67" s="168">
        <f>G66*(1-G19)</f>
        <v>13673.5695</v>
      </c>
      <c r="H67" s="168">
        <f>H66*(1-H19)</f>
        <v>21245.800500000001</v>
      </c>
      <c r="I67" s="168">
        <f>I66*(1-I19)</f>
        <v>21157.079999999998</v>
      </c>
      <c r="J67" s="168">
        <f>J66*(1-J19)</f>
        <v>17387.52</v>
      </c>
      <c r="K67" s="168">
        <f>K66*(1-K19)</f>
        <v>15659.805</v>
      </c>
      <c r="L67" s="168">
        <f>L66*(1-L19)</f>
        <v>13359.864</v>
      </c>
      <c r="M67" s="168">
        <f>M66*(1-M19)</f>
        <v>12560.955</v>
      </c>
      <c r="N67" s="157"/>
      <c r="O67" s="156"/>
      <c r="P67" s="156"/>
    </row>
    <row r="68" spans="1:16">
      <c r="A68" s="169" t="s">
        <v>244</v>
      </c>
      <c r="B68" s="170">
        <f>B67/B26</f>
        <v>1.6547441860465117</v>
      </c>
      <c r="C68" s="170">
        <f>C67/C26</f>
        <v>1.3108414553571426</v>
      </c>
      <c r="D68" s="170">
        <f>D67/D26</f>
        <v>1.6755441466666665</v>
      </c>
      <c r="E68" s="170">
        <f>E67/E26</f>
        <v>2.8332519893899208</v>
      </c>
      <c r="F68" s="170">
        <f>F67/F26</f>
        <v>4.6301087873462201</v>
      </c>
      <c r="G68" s="170">
        <f>G67/G26</f>
        <v>11.973353327495621</v>
      </c>
      <c r="H68" s="170">
        <f>H67/H26</f>
        <v>18.555284279475984</v>
      </c>
      <c r="I68" s="170">
        <f>I67/I26</f>
        <v>18.429512195121948</v>
      </c>
      <c r="J68" s="170">
        <f>J67/J26</f>
        <v>15.252210526315789</v>
      </c>
      <c r="K68" s="170">
        <f>K67/K26</f>
        <v>13.858234513274336</v>
      </c>
      <c r="L68" s="170">
        <f>L67/L26</f>
        <v>11.949788908765653</v>
      </c>
      <c r="M68" s="170">
        <f>M67/M26</f>
        <v>11.367380090497738</v>
      </c>
      <c r="N68" s="157"/>
      <c r="O68" s="156"/>
      <c r="P68" s="156"/>
    </row>
    <row r="69" spans="1:16">
      <c r="A69" s="158" t="s">
        <v>245</v>
      </c>
      <c r="B69" s="171">
        <f>SUM(F68:I68)</f>
        <v>53.588258589439775</v>
      </c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6"/>
      <c r="P69" s="156"/>
    </row>
    <row r="70" spans="1:16">
      <c r="A70" s="158" t="s">
        <v>246</v>
      </c>
      <c r="B70" s="171">
        <f>SUM(J68:M68)</f>
        <v>52.42761403885352</v>
      </c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6"/>
      <c r="P70" s="156"/>
    </row>
    <row r="71" spans="1:16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6"/>
      <c r="P71" s="156"/>
    </row>
    <row r="72" spans="1:16">
      <c r="A72" s="157" t="s">
        <v>247</v>
      </c>
      <c r="B72" s="172">
        <f>B22-B23</f>
        <v>2.8000000000000003</v>
      </c>
      <c r="C72" s="172">
        <f>C22-C23</f>
        <v>3</v>
      </c>
      <c r="D72" s="172">
        <f>D22-D23</f>
        <v>3.2</v>
      </c>
      <c r="E72" s="172">
        <f>E22-E23</f>
        <v>3.5</v>
      </c>
      <c r="F72" s="172">
        <f>F22-F23</f>
        <v>4.2</v>
      </c>
      <c r="G72" s="172">
        <f>G22-G23</f>
        <v>4.7</v>
      </c>
      <c r="H72" s="172">
        <f>H22-H23</f>
        <v>6.7</v>
      </c>
      <c r="I72" s="172">
        <f>I22-I23</f>
        <v>8.1999999999999993</v>
      </c>
      <c r="J72" s="172">
        <f>J22-J23</f>
        <v>8.6999999999999993</v>
      </c>
      <c r="K72" s="172">
        <f>K22-K23</f>
        <v>9.1999999999999993</v>
      </c>
      <c r="L72" s="172">
        <f>L22-L23</f>
        <v>9.6999999999999993</v>
      </c>
      <c r="M72" s="172">
        <f>M22-M23</f>
        <v>10.199999999999999</v>
      </c>
      <c r="N72" s="157"/>
      <c r="O72" s="156"/>
      <c r="P72" s="156"/>
    </row>
    <row r="73" spans="1:16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6"/>
      <c r="P73" s="156"/>
    </row>
    <row r="74" spans="1:16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6"/>
      <c r="P74" s="156"/>
    </row>
    <row r="75" spans="1:16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6"/>
      <c r="P75" s="156"/>
    </row>
    <row r="76" spans="1:16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6"/>
      <c r="P76" s="156"/>
    </row>
    <row r="77" spans="1:16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6"/>
      <c r="P77" s="156"/>
    </row>
    <row r="78" spans="1:16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6"/>
      <c r="P78" s="156"/>
    </row>
    <row r="79" spans="1:16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6"/>
      <c r="P79" s="156"/>
    </row>
    <row r="80" spans="1:16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6"/>
      <c r="P80" s="156"/>
    </row>
    <row r="81" spans="1:16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6"/>
      <c r="P81" s="156"/>
    </row>
    <row r="82" spans="1:16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6"/>
      <c r="P82" s="156"/>
    </row>
    <row r="83" spans="1:16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57"/>
      <c r="O83" s="156"/>
      <c r="P83" s="156"/>
    </row>
    <row r="84" spans="1:16">
      <c r="A84" s="157"/>
      <c r="B84" s="173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6"/>
      <c r="P84" s="156"/>
    </row>
    <row r="85" spans="1:16">
      <c r="A85" s="157"/>
      <c r="B85" s="173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6"/>
      <c r="P85" s="156"/>
    </row>
    <row r="86" spans="1:16">
      <c r="A86" s="157"/>
      <c r="B86" s="173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6"/>
      <c r="P86" s="156"/>
    </row>
    <row r="87" spans="1:16">
      <c r="A87" s="157"/>
      <c r="B87" s="173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6"/>
      <c r="P87" s="156"/>
    </row>
    <row r="88" spans="1:16">
      <c r="A88" s="157"/>
      <c r="B88" s="173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6"/>
      <c r="P88" s="156"/>
    </row>
    <row r="89" spans="1:16">
      <c r="A89" s="157"/>
      <c r="B89" s="173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6"/>
      <c r="P89" s="156"/>
    </row>
    <row r="90" spans="1:16">
      <c r="A90" s="157"/>
      <c r="B90" s="174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6"/>
      <c r="P90" s="156"/>
    </row>
  </sheetData>
  <mergeCells count="1">
    <mergeCell ref="A1:P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I55"/>
  <sheetViews>
    <sheetView showGridLines="0" zoomScale="85" workbookViewId="0">
      <pane xSplit="1" ySplit="5" topLeftCell="B6" activePane="bottomRight" state="frozen"/>
      <selection pane="bottomRight"/>
      <selection pane="bottomLeft"/>
      <selection pane="topRight"/>
    </sheetView>
  </sheetViews>
  <sheetFormatPr defaultRowHeight="15"/>
  <cols>
    <col min="1" max="1" width="35" customWidth="1"/>
    <col min="2" max="6" width="15" customWidth="1"/>
    <col min="7" max="7" width="17" customWidth="1"/>
    <col min="8" max="9" width="18" customWidth="1"/>
  </cols>
  <sheetData>
    <row r="1" spans="1:9">
      <c r="A1" s="208" t="s">
        <v>248</v>
      </c>
      <c r="B1" s="207"/>
      <c r="C1" s="207"/>
      <c r="D1" s="207"/>
      <c r="E1" s="207"/>
      <c r="F1" s="207"/>
      <c r="G1" s="207"/>
      <c r="H1" s="207"/>
      <c r="I1" s="207"/>
    </row>
    <row r="2" spans="1:9">
      <c r="A2" s="1" t="s">
        <v>249</v>
      </c>
      <c r="B2" s="156"/>
      <c r="C2" s="156"/>
      <c r="D2" s="156"/>
      <c r="E2" s="156"/>
      <c r="F2" s="156"/>
      <c r="G2" s="156"/>
      <c r="H2" s="156"/>
      <c r="I2" s="156"/>
    </row>
    <row r="3" spans="1:9">
      <c r="A3" s="156"/>
      <c r="B3" s="156"/>
      <c r="C3" s="156"/>
      <c r="D3" s="156"/>
      <c r="E3" s="156"/>
      <c r="F3" s="156"/>
      <c r="G3" s="156"/>
      <c r="H3" s="156"/>
      <c r="I3" s="156"/>
    </row>
    <row r="4" spans="1:9">
      <c r="A4" s="6"/>
      <c r="B4" s="6" t="s">
        <v>250</v>
      </c>
      <c r="C4" s="6" t="s">
        <v>251</v>
      </c>
      <c r="D4" s="6" t="s">
        <v>252</v>
      </c>
      <c r="E4" s="6" t="s">
        <v>253</v>
      </c>
      <c r="F4" s="6" t="s">
        <v>254</v>
      </c>
      <c r="G4" s="6" t="s">
        <v>255</v>
      </c>
      <c r="H4" s="6" t="s">
        <v>256</v>
      </c>
      <c r="I4" s="6" t="s">
        <v>257</v>
      </c>
    </row>
    <row r="5" spans="1:9">
      <c r="A5" s="156"/>
      <c r="B5" s="7" t="s">
        <v>258</v>
      </c>
      <c r="C5" s="7" t="s">
        <v>258</v>
      </c>
      <c r="D5" s="7" t="s">
        <v>258</v>
      </c>
      <c r="E5" s="7" t="s">
        <v>258</v>
      </c>
      <c r="F5" s="7" t="s">
        <v>258</v>
      </c>
      <c r="G5" s="7" t="s">
        <v>258</v>
      </c>
      <c r="H5" s="7" t="s">
        <v>258</v>
      </c>
      <c r="I5" s="7" t="s">
        <v>258</v>
      </c>
    </row>
    <row r="6" spans="1:9">
      <c r="A6" s="156"/>
      <c r="B6" s="156"/>
      <c r="C6" s="156"/>
      <c r="D6" s="156"/>
      <c r="E6" s="156"/>
      <c r="F6" s="156"/>
      <c r="G6" s="156"/>
      <c r="H6" s="156"/>
      <c r="I6" s="156"/>
    </row>
    <row r="7" spans="1:9">
      <c r="A7" s="95" t="s">
        <v>259</v>
      </c>
      <c r="B7" s="156"/>
      <c r="C7" s="156"/>
      <c r="D7" s="156"/>
      <c r="E7" s="156"/>
      <c r="F7" s="156"/>
      <c r="G7" s="156"/>
      <c r="H7" s="156"/>
      <c r="I7" s="156"/>
    </row>
    <row r="8" spans="1:9">
      <c r="A8" s="15" t="s">
        <v>233</v>
      </c>
      <c r="B8" s="57">
        <f>Assumptions!B55</f>
        <v>8710</v>
      </c>
      <c r="C8" s="57">
        <f>Assumptions!C55</f>
        <v>8053</v>
      </c>
      <c r="D8" s="57">
        <f>Assumptions!D55</f>
        <v>9301</v>
      </c>
      <c r="E8" s="57">
        <f>Assumptions!E55</f>
        <v>11315</v>
      </c>
      <c r="F8" s="57">
        <f>Assumptions!F55</f>
        <v>13640</v>
      </c>
      <c r="G8" s="57">
        <f>Assumptions!G55</f>
        <v>23860</v>
      </c>
      <c r="H8" s="30">
        <f>SUM(B8:E8)</f>
        <v>37379</v>
      </c>
      <c r="I8" s="30">
        <f>SUM(F8:G8)</f>
        <v>37500</v>
      </c>
    </row>
    <row r="9" spans="1:9">
      <c r="A9" s="31" t="s">
        <v>260</v>
      </c>
      <c r="B9" s="156"/>
      <c r="C9" s="25">
        <f>(C8-B8)/B8</f>
        <v>-7.543053960964409E-2</v>
      </c>
      <c r="D9" s="25">
        <f>(D8-C8)/C8</f>
        <v>0.1549733018750776</v>
      </c>
      <c r="E9" s="25">
        <f>(E8-D8)/D8</f>
        <v>0.21653585635953124</v>
      </c>
      <c r="F9" s="25">
        <f>(F8-E8)/E8</f>
        <v>0.20547945205479451</v>
      </c>
      <c r="G9" s="25">
        <f>(G8-F8)/F8</f>
        <v>0.74926686217008798</v>
      </c>
      <c r="H9" s="156"/>
      <c r="I9" s="156"/>
    </row>
    <row r="10" spans="1:9">
      <c r="A10" s="3" t="s">
        <v>261</v>
      </c>
      <c r="B10" s="59">
        <f>Assumptions!B60</f>
        <v>6358.3</v>
      </c>
      <c r="C10" s="59">
        <f>Assumptions!C60</f>
        <v>6120.28</v>
      </c>
      <c r="D10" s="59">
        <f>Assumptions!D60</f>
        <v>7068.76</v>
      </c>
      <c r="E10" s="59">
        <f>Assumptions!E60</f>
        <v>9052</v>
      </c>
      <c r="F10" s="59">
        <f>Assumptions!F60</f>
        <v>10775.6</v>
      </c>
      <c r="G10" s="59">
        <f>Assumptions!G60</f>
        <v>18849.400000000001</v>
      </c>
      <c r="H10" s="32">
        <f>SUM(B10:E10)</f>
        <v>28599.34</v>
      </c>
      <c r="I10" s="32">
        <f>SUM(F10:G10)</f>
        <v>29625</v>
      </c>
    </row>
    <row r="11" spans="1:9">
      <c r="A11" s="3" t="s">
        <v>262</v>
      </c>
      <c r="B11" s="59">
        <f>Assumptions!B61</f>
        <v>2351.6999999999998</v>
      </c>
      <c r="C11" s="59">
        <f>Assumptions!C61</f>
        <v>1932.7200000000003</v>
      </c>
      <c r="D11" s="59">
        <f>Assumptions!D61</f>
        <v>2232.2399999999998</v>
      </c>
      <c r="E11" s="59">
        <f>Assumptions!E61</f>
        <v>2263</v>
      </c>
      <c r="F11" s="59">
        <f>Assumptions!F61</f>
        <v>2864.3999999999996</v>
      </c>
      <c r="G11" s="59">
        <f>Assumptions!G61</f>
        <v>5010.5999999999985</v>
      </c>
      <c r="H11" s="32">
        <f>SUM(B11:E11)</f>
        <v>8779.66</v>
      </c>
      <c r="I11" s="32">
        <f>SUM(F11:G11)</f>
        <v>7874.9999999999982</v>
      </c>
    </row>
    <row r="12" spans="1:9">
      <c r="A12" s="33" t="s">
        <v>263</v>
      </c>
      <c r="B12" s="32">
        <f>B8-B10-B11</f>
        <v>0</v>
      </c>
      <c r="C12" s="32">
        <f>C8-C10-C11</f>
        <v>0</v>
      </c>
      <c r="D12" s="32">
        <f>D8-D10-D11</f>
        <v>0</v>
      </c>
      <c r="E12" s="32">
        <f>E8-E10-E11</f>
        <v>0</v>
      </c>
      <c r="F12" s="32">
        <f>F8-F10-F11</f>
        <v>0</v>
      </c>
      <c r="G12" s="32">
        <f>G8-G10-G11</f>
        <v>0</v>
      </c>
      <c r="H12" s="32">
        <f>SUM(B12:E12)</f>
        <v>0</v>
      </c>
      <c r="I12" s="32">
        <f>SUM(F12:G12)</f>
        <v>0</v>
      </c>
    </row>
    <row r="13" spans="1:9">
      <c r="A13" s="31" t="s">
        <v>264</v>
      </c>
      <c r="B13" s="25">
        <f>B10/B8</f>
        <v>0.73</v>
      </c>
      <c r="C13" s="25">
        <f>C10/C8</f>
        <v>0.76</v>
      </c>
      <c r="D13" s="25">
        <f>D10/D8</f>
        <v>0.76</v>
      </c>
      <c r="E13" s="25">
        <f>E10/E8</f>
        <v>0.8</v>
      </c>
      <c r="F13" s="25">
        <f>F10/F8</f>
        <v>0.79</v>
      </c>
      <c r="G13" s="25">
        <f>G10/G8</f>
        <v>0.79</v>
      </c>
      <c r="H13" s="25">
        <f>H10/H8</f>
        <v>0.76511784691939322</v>
      </c>
      <c r="I13" s="25">
        <f>I10/I8</f>
        <v>0.79</v>
      </c>
    </row>
    <row r="14" spans="1:9">
      <c r="A14" s="156"/>
      <c r="B14" s="156"/>
      <c r="C14" s="156"/>
      <c r="D14" s="156"/>
      <c r="E14" s="156"/>
      <c r="F14" s="156"/>
      <c r="G14" s="156"/>
      <c r="H14" s="156"/>
      <c r="I14" s="156"/>
    </row>
    <row r="15" spans="1:9">
      <c r="A15" s="95" t="s">
        <v>265</v>
      </c>
      <c r="B15" s="156"/>
      <c r="C15" s="156"/>
      <c r="D15" s="156"/>
      <c r="E15" s="156"/>
      <c r="F15" s="156"/>
      <c r="G15" s="156"/>
      <c r="H15" s="156"/>
      <c r="I15" s="156"/>
    </row>
    <row r="16" spans="1:9">
      <c r="A16" s="3" t="s">
        <v>266</v>
      </c>
      <c r="B16" s="59">
        <f>Assumptions!B55*(1-Assumptions!B15)</f>
        <v>5269.55</v>
      </c>
      <c r="C16" s="59">
        <f>Assumptions!C55*(1-Assumptions!C15)</f>
        <v>5089.4960000000001</v>
      </c>
      <c r="D16" s="59">
        <f>Assumptions!D55*(1-Assumptions!D15)</f>
        <v>5794.5230000000001</v>
      </c>
      <c r="E16" s="59">
        <f>Assumptions!E55*(1-Assumptions!E15)</f>
        <v>6257.1949999999997</v>
      </c>
      <c r="F16" s="59">
        <f>Assumptions!F55*(1-Assumptions!F15)</f>
        <v>5892.4800000000005</v>
      </c>
      <c r="G16" s="59">
        <f>Assumptions!G55*(1-Assumptions!G15)</f>
        <v>5965</v>
      </c>
      <c r="H16" s="32">
        <f>SUM(B16:E16)</f>
        <v>22410.763999999999</v>
      </c>
      <c r="I16" s="32">
        <f>SUM(F16:G16)</f>
        <v>11857.48</v>
      </c>
    </row>
    <row r="17" spans="1:9">
      <c r="A17" s="15" t="s">
        <v>239</v>
      </c>
      <c r="B17" s="30">
        <f>B8-B16</f>
        <v>3440.45</v>
      </c>
      <c r="C17" s="30">
        <f>C8-C16</f>
        <v>2963.5039999999999</v>
      </c>
      <c r="D17" s="30">
        <f>D8-D16</f>
        <v>3506.4769999999999</v>
      </c>
      <c r="E17" s="30">
        <f>E8-E16</f>
        <v>5057.8050000000003</v>
      </c>
      <c r="F17" s="30">
        <f>F8-F16</f>
        <v>7747.5199999999995</v>
      </c>
      <c r="G17" s="30">
        <f>G8-G16</f>
        <v>17895</v>
      </c>
      <c r="H17" s="30">
        <f>H8-H16</f>
        <v>14968.236000000001</v>
      </c>
      <c r="I17" s="30">
        <f>I8-I16</f>
        <v>25642.52</v>
      </c>
    </row>
    <row r="18" spans="1:9">
      <c r="A18" s="14" t="s">
        <v>197</v>
      </c>
      <c r="B18" s="29">
        <f>B17/B8</f>
        <v>0.39499999999999996</v>
      </c>
      <c r="C18" s="29">
        <f>C17/C8</f>
        <v>0.36799999999999999</v>
      </c>
      <c r="D18" s="29">
        <f>D17/D8</f>
        <v>0.377</v>
      </c>
      <c r="E18" s="29">
        <f>E17/E8</f>
        <v>0.44700000000000001</v>
      </c>
      <c r="F18" s="29">
        <f>F17/F8</f>
        <v>0.56799999999999995</v>
      </c>
      <c r="G18" s="29">
        <f>G17/G8</f>
        <v>0.75</v>
      </c>
      <c r="H18" s="29">
        <f>H17/H8</f>
        <v>0.40044506273576075</v>
      </c>
      <c r="I18" s="29">
        <f>I17/I8</f>
        <v>0.68380053333333335</v>
      </c>
    </row>
    <row r="19" spans="1:9">
      <c r="A19" s="156"/>
      <c r="B19" s="156"/>
      <c r="C19" s="156"/>
      <c r="D19" s="156"/>
      <c r="E19" s="156"/>
      <c r="F19" s="156"/>
      <c r="G19" s="156"/>
      <c r="H19" s="156"/>
      <c r="I19" s="156"/>
    </row>
    <row r="20" spans="1:9">
      <c r="A20" s="3" t="s">
        <v>267</v>
      </c>
      <c r="B20" s="59">
        <f>Assumptions!B64</f>
        <v>1001.6500000000001</v>
      </c>
      <c r="C20" s="59">
        <f>Assumptions!C64</f>
        <v>966.36</v>
      </c>
      <c r="D20" s="59">
        <f>Assumptions!D64</f>
        <v>1023.11</v>
      </c>
      <c r="E20" s="59">
        <f>Assumptions!E64</f>
        <v>1074.925</v>
      </c>
      <c r="F20" s="59">
        <f>Assumptions!F64</f>
        <v>1159.4000000000001</v>
      </c>
      <c r="G20" s="59">
        <f>Assumptions!G64</f>
        <v>1312.3</v>
      </c>
      <c r="H20" s="32">
        <f>SUM(B20:E20)</f>
        <v>4066.0450000000001</v>
      </c>
      <c r="I20" s="32">
        <f>SUM(F20:G20)</f>
        <v>2471.6999999999998</v>
      </c>
    </row>
    <row r="21" spans="1:9">
      <c r="A21" s="3" t="s">
        <v>268</v>
      </c>
      <c r="B21" s="59">
        <f>Assumptions!B65</f>
        <v>348.40000000000003</v>
      </c>
      <c r="C21" s="59">
        <f>Assumptions!C65</f>
        <v>338.226</v>
      </c>
      <c r="D21" s="59">
        <f>Assumptions!D65</f>
        <v>353.43799999999999</v>
      </c>
      <c r="E21" s="59">
        <f>Assumptions!E65</f>
        <v>362.08</v>
      </c>
      <c r="F21" s="59">
        <f>Assumptions!F65</f>
        <v>381.92</v>
      </c>
      <c r="G21" s="59">
        <f>Assumptions!G65</f>
        <v>477.2</v>
      </c>
      <c r="H21" s="32">
        <f>SUM(B21:E21)</f>
        <v>1402.1439999999998</v>
      </c>
      <c r="I21" s="32">
        <f>SUM(F21:G21)</f>
        <v>859.12</v>
      </c>
    </row>
    <row r="22" spans="1:9">
      <c r="A22" s="15" t="s">
        <v>269</v>
      </c>
      <c r="B22" s="30">
        <f>B20+B21</f>
        <v>1350.0500000000002</v>
      </c>
      <c r="C22" s="30">
        <f>C20+C21</f>
        <v>1304.586</v>
      </c>
      <c r="D22" s="30">
        <f>D20+D21</f>
        <v>1376.548</v>
      </c>
      <c r="E22" s="30">
        <f>E20+E21</f>
        <v>1437.0049999999999</v>
      </c>
      <c r="F22" s="30">
        <f>F20+F21</f>
        <v>1541.3200000000002</v>
      </c>
      <c r="G22" s="30">
        <f>G20+G21</f>
        <v>1789.5</v>
      </c>
      <c r="H22" s="30">
        <f>H20+H21</f>
        <v>5468.1890000000003</v>
      </c>
      <c r="I22" s="30">
        <f>I20+I21</f>
        <v>3330.8199999999997</v>
      </c>
    </row>
    <row r="23" spans="1:9">
      <c r="A23" s="156"/>
      <c r="B23" s="156"/>
      <c r="C23" s="156"/>
      <c r="D23" s="156"/>
      <c r="E23" s="156"/>
      <c r="F23" s="156"/>
      <c r="G23" s="156"/>
      <c r="H23" s="156"/>
      <c r="I23" s="156"/>
    </row>
    <row r="24" spans="1:9">
      <c r="A24" s="15" t="s">
        <v>242</v>
      </c>
      <c r="B24" s="30">
        <f>B17-B22</f>
        <v>2090.3999999999996</v>
      </c>
      <c r="C24" s="30">
        <f>C17-C22</f>
        <v>1658.9179999999999</v>
      </c>
      <c r="D24" s="30">
        <f>D17-D22</f>
        <v>2129.9290000000001</v>
      </c>
      <c r="E24" s="30">
        <f>E17-E22</f>
        <v>3620.8</v>
      </c>
      <c r="F24" s="30">
        <f>F17-F22</f>
        <v>6206.1999999999989</v>
      </c>
      <c r="G24" s="30">
        <f>G17-G22</f>
        <v>16105.5</v>
      </c>
      <c r="H24" s="30">
        <f>H17-H22</f>
        <v>9500.0470000000005</v>
      </c>
      <c r="I24" s="30">
        <f>I17-I22</f>
        <v>22311.7</v>
      </c>
    </row>
    <row r="25" spans="1:9">
      <c r="A25" s="14" t="s">
        <v>270</v>
      </c>
      <c r="B25" s="29">
        <f>B24/B8</f>
        <v>0.23999999999999996</v>
      </c>
      <c r="C25" s="29">
        <f>C24/C8</f>
        <v>0.20599999999999999</v>
      </c>
      <c r="D25" s="29">
        <f>D24/D8</f>
        <v>0.22900000000000001</v>
      </c>
      <c r="E25" s="29">
        <f>E24/E8</f>
        <v>0.32</v>
      </c>
      <c r="F25" s="29">
        <f>F24/F8</f>
        <v>0.4549999999999999</v>
      </c>
      <c r="G25" s="29">
        <f>G24/G8</f>
        <v>0.67500000000000004</v>
      </c>
      <c r="H25" s="29">
        <f>H24/H8</f>
        <v>0.25415465903314699</v>
      </c>
      <c r="I25" s="29">
        <f>I24/I8</f>
        <v>0.59497866666666666</v>
      </c>
    </row>
    <row r="26" spans="1:9">
      <c r="A26" s="156"/>
      <c r="B26" s="156"/>
      <c r="C26" s="156"/>
      <c r="D26" s="156"/>
      <c r="E26" s="156"/>
      <c r="F26" s="156"/>
      <c r="G26" s="156"/>
      <c r="H26" s="156"/>
      <c r="I26" s="156"/>
    </row>
    <row r="27" spans="1:9">
      <c r="A27" s="3" t="s">
        <v>271</v>
      </c>
      <c r="B27" s="18">
        <v>-42</v>
      </c>
      <c r="C27" s="18">
        <v>-4</v>
      </c>
      <c r="D27" s="18">
        <v>12</v>
      </c>
      <c r="E27" s="18">
        <v>22</v>
      </c>
      <c r="F27" s="18">
        <v>50</v>
      </c>
      <c r="G27" s="18">
        <v>80</v>
      </c>
      <c r="H27" s="32">
        <f>SUM(B27:E27)</f>
        <v>-12</v>
      </c>
      <c r="I27" s="32">
        <f>SUM(F27:G27)</f>
        <v>130</v>
      </c>
    </row>
    <row r="28" spans="1:9">
      <c r="A28" s="3" t="s">
        <v>272</v>
      </c>
      <c r="B28" s="18">
        <v>-68</v>
      </c>
      <c r="C28" s="18">
        <v>-11</v>
      </c>
      <c r="D28" s="18">
        <v>-68</v>
      </c>
      <c r="E28" s="18">
        <v>-45</v>
      </c>
      <c r="F28" s="18">
        <v>-20</v>
      </c>
      <c r="G28" s="18">
        <v>-20</v>
      </c>
      <c r="H28" s="32">
        <f>SUM(B28:E28)</f>
        <v>-192</v>
      </c>
      <c r="I28" s="32">
        <f>SUM(F28:G28)</f>
        <v>-40</v>
      </c>
    </row>
    <row r="29" spans="1:9">
      <c r="A29" s="15" t="s">
        <v>273</v>
      </c>
      <c r="B29" s="30">
        <f>B24+B27+B28</f>
        <v>1980.3999999999996</v>
      </c>
      <c r="C29" s="30">
        <f>C24+C27+C28</f>
        <v>1643.9179999999999</v>
      </c>
      <c r="D29" s="30">
        <f>D24+D27+D28</f>
        <v>2073.9290000000001</v>
      </c>
      <c r="E29" s="30">
        <f>E24+E27+E28</f>
        <v>3597.8</v>
      </c>
      <c r="F29" s="30">
        <f>F24+F27+F28</f>
        <v>6236.1999999999989</v>
      </c>
      <c r="G29" s="30">
        <f>G24+G27+G28</f>
        <v>16165.5</v>
      </c>
      <c r="H29" s="30">
        <f>H24+H27+H28</f>
        <v>9296.0470000000005</v>
      </c>
      <c r="I29" s="30">
        <f>I24+I27+I28</f>
        <v>22401.7</v>
      </c>
    </row>
    <row r="30" spans="1:9">
      <c r="A30" s="3" t="s">
        <v>274</v>
      </c>
      <c r="B30" s="32">
        <f>B29*0.151</f>
        <v>299.04039999999992</v>
      </c>
      <c r="C30" s="32">
        <f>C29*0.151</f>
        <v>248.23161799999997</v>
      </c>
      <c r="D30" s="32">
        <f>D29*0.151</f>
        <v>313.16327899999999</v>
      </c>
      <c r="E30" s="32">
        <f>E29*0.151</f>
        <v>543.26779999999997</v>
      </c>
      <c r="F30" s="32">
        <f>F29*0.151</f>
        <v>941.66619999999978</v>
      </c>
      <c r="G30" s="32">
        <f>G29*0.151</f>
        <v>2440.9904999999999</v>
      </c>
      <c r="H30" s="32">
        <f>H29*0.151</f>
        <v>1403.7030970000001</v>
      </c>
      <c r="I30" s="32">
        <f>I29*0.151</f>
        <v>3382.6567</v>
      </c>
    </row>
    <row r="31" spans="1:9">
      <c r="A31" s="156"/>
      <c r="B31" s="156"/>
      <c r="C31" s="156"/>
      <c r="D31" s="156"/>
      <c r="E31" s="156"/>
      <c r="F31" s="156"/>
      <c r="G31" s="156"/>
      <c r="H31" s="156"/>
      <c r="I31" s="156"/>
    </row>
    <row r="32" spans="1:9">
      <c r="A32" s="34" t="s">
        <v>275</v>
      </c>
      <c r="B32" s="35">
        <f>B29-B30</f>
        <v>1681.3595999999998</v>
      </c>
      <c r="C32" s="35">
        <f>C29-C30</f>
        <v>1395.6863819999999</v>
      </c>
      <c r="D32" s="35">
        <f>D29-D30</f>
        <v>1760.7657210000002</v>
      </c>
      <c r="E32" s="35">
        <f>E29-E30</f>
        <v>3054.5322000000001</v>
      </c>
      <c r="F32" s="35">
        <f>F29-F30</f>
        <v>5294.5337999999992</v>
      </c>
      <c r="G32" s="35">
        <f>G29-G30</f>
        <v>13724.5095</v>
      </c>
      <c r="H32" s="35">
        <f>H29-H30</f>
        <v>7892.3439030000009</v>
      </c>
      <c r="I32" s="35">
        <f>I29-I30</f>
        <v>19019.043300000001</v>
      </c>
    </row>
    <row r="33" spans="1:9">
      <c r="A33" s="156"/>
      <c r="B33" s="156"/>
      <c r="C33" s="156"/>
      <c r="D33" s="156"/>
      <c r="E33" s="156"/>
      <c r="F33" s="156"/>
      <c r="G33" s="156"/>
      <c r="H33" s="156"/>
      <c r="I33" s="156"/>
    </row>
    <row r="34" spans="1:9">
      <c r="A34" s="15" t="s">
        <v>276</v>
      </c>
      <c r="B34" s="36">
        <f>B32/(Assumptions!B26)</f>
        <v>1.5038994633273701</v>
      </c>
      <c r="C34" s="36">
        <f>C32/(Assumptions!C26)</f>
        <v>1.2461485553571428</v>
      </c>
      <c r="D34" s="36">
        <f>D32/(Assumptions!D26)</f>
        <v>1.5651250853333336</v>
      </c>
      <c r="E34" s="36">
        <f>E32/(Assumptions!E26)</f>
        <v>2.7007358090185676</v>
      </c>
      <c r="F34" s="36">
        <f>F32/(Assumptions!F26)</f>
        <v>4.6524901581722311</v>
      </c>
      <c r="G34" s="36">
        <f>G32/(Assumptions!G26)</f>
        <v>12.01795928196147</v>
      </c>
      <c r="H34" s="36">
        <f>H32/(Assumptions!B26)</f>
        <v>7.0593415948121656</v>
      </c>
      <c r="I34" s="36">
        <f>I32/((Assumptions!F26+Assumptions!G26)/2)</f>
        <v>16.683371315789476</v>
      </c>
    </row>
    <row r="35" spans="1:9">
      <c r="A35" s="14" t="s">
        <v>277</v>
      </c>
      <c r="B35" s="19">
        <v>1.79</v>
      </c>
      <c r="C35" s="19">
        <v>1.56</v>
      </c>
      <c r="D35" s="19">
        <v>1.91</v>
      </c>
      <c r="E35" s="19">
        <v>3.03</v>
      </c>
      <c r="F35" s="19">
        <v>4.78</v>
      </c>
      <c r="G35" s="19">
        <v>12.2</v>
      </c>
      <c r="H35" s="37">
        <f>SUM(B35:E35)</f>
        <v>8.2899999999999991</v>
      </c>
      <c r="I35" s="37">
        <f>SUM(F35:G35)</f>
        <v>16.98</v>
      </c>
    </row>
    <row r="36" spans="1:9">
      <c r="A36" s="156"/>
      <c r="B36" s="156"/>
      <c r="C36" s="156"/>
      <c r="D36" s="156"/>
      <c r="E36" s="156"/>
      <c r="F36" s="156"/>
      <c r="G36" s="156"/>
      <c r="H36" s="156"/>
      <c r="I36" s="156"/>
    </row>
    <row r="37" spans="1:9">
      <c r="A37" s="95" t="s">
        <v>278</v>
      </c>
      <c r="B37" s="156"/>
      <c r="C37" s="156"/>
      <c r="D37" s="156"/>
      <c r="E37" s="156"/>
      <c r="F37" s="156"/>
      <c r="G37" s="156"/>
      <c r="H37" s="156"/>
      <c r="I37" s="156"/>
    </row>
    <row r="38" spans="1:9">
      <c r="A38" s="11" t="s">
        <v>279</v>
      </c>
      <c r="B38" s="59">
        <f>Assumptions!B62</f>
        <v>762.99599999999998</v>
      </c>
      <c r="C38" s="59">
        <f>Assumptions!C62</f>
        <v>918.04199999999992</v>
      </c>
      <c r="D38" s="59">
        <f>Assumptions!D62</f>
        <v>1272.3768</v>
      </c>
      <c r="E38" s="59">
        <f>Assumptions!E62</f>
        <v>1991.44</v>
      </c>
      <c r="F38" s="59">
        <f>Assumptions!F62</f>
        <v>3017.1680000000006</v>
      </c>
      <c r="G38" s="59">
        <f>Assumptions!G62</f>
        <v>6031.8080000000009</v>
      </c>
      <c r="H38" s="32">
        <f>SUM(B38:E38)</f>
        <v>4944.8548000000001</v>
      </c>
      <c r="I38" s="32">
        <f>SUM(F38:G38)</f>
        <v>9048.9760000000024</v>
      </c>
    </row>
    <row r="39" spans="1:9">
      <c r="A39" s="31" t="s">
        <v>280</v>
      </c>
      <c r="B39" s="25">
        <f>B38/B10</f>
        <v>0.12</v>
      </c>
      <c r="C39" s="25">
        <f>C38/C10</f>
        <v>0.15</v>
      </c>
      <c r="D39" s="25">
        <f>D38/D10</f>
        <v>0.18</v>
      </c>
      <c r="E39" s="25">
        <f>E38/E10</f>
        <v>0.22</v>
      </c>
      <c r="F39" s="25">
        <f>F38/F10</f>
        <v>0.28000000000000003</v>
      </c>
      <c r="G39" s="25">
        <f>G38/G10</f>
        <v>0.32</v>
      </c>
      <c r="H39" s="25">
        <f>H38/H10</f>
        <v>0.17290101100235181</v>
      </c>
      <c r="I39" s="25">
        <f>I38/I10</f>
        <v>0.30545066666666676</v>
      </c>
    </row>
    <row r="40" spans="1:9">
      <c r="A40" s="3" t="s">
        <v>281</v>
      </c>
      <c r="B40" s="18">
        <v>1950</v>
      </c>
      <c r="C40" s="18">
        <v>2000</v>
      </c>
      <c r="D40" s="18">
        <v>2088</v>
      </c>
      <c r="E40" s="18">
        <v>2200</v>
      </c>
      <c r="F40" s="18">
        <v>2500</v>
      </c>
      <c r="G40" s="18">
        <v>2700</v>
      </c>
      <c r="H40" s="32">
        <f>SUM(B40:E40)</f>
        <v>8238</v>
      </c>
      <c r="I40" s="32">
        <f>SUM(F40:G40)</f>
        <v>5200</v>
      </c>
    </row>
    <row r="41" spans="1:9">
      <c r="A41" s="15" t="s">
        <v>282</v>
      </c>
      <c r="B41" s="30">
        <f>B24+B40</f>
        <v>4040.3999999999996</v>
      </c>
      <c r="C41" s="30">
        <f>C24+C40</f>
        <v>3658.9179999999997</v>
      </c>
      <c r="D41" s="30">
        <f>D24+D40</f>
        <v>4217.9290000000001</v>
      </c>
      <c r="E41" s="30">
        <f>E24+E40</f>
        <v>5820.8</v>
      </c>
      <c r="F41" s="30">
        <f>F24+F40</f>
        <v>8706.1999999999989</v>
      </c>
      <c r="G41" s="30">
        <f>G24+G40</f>
        <v>18805.5</v>
      </c>
      <c r="H41" s="30">
        <f>H24+H40</f>
        <v>17738.046999999999</v>
      </c>
      <c r="I41" s="30">
        <f>I24+I40</f>
        <v>27511.7</v>
      </c>
    </row>
    <row r="42" spans="1:9">
      <c r="A42" s="156"/>
      <c r="B42" s="156"/>
      <c r="C42" s="156"/>
      <c r="D42" s="156"/>
      <c r="E42" s="156"/>
      <c r="F42" s="156"/>
      <c r="G42" s="156"/>
      <c r="H42" s="156"/>
      <c r="I42" s="156"/>
    </row>
    <row r="43" spans="1:9">
      <c r="A43" s="95" t="s">
        <v>283</v>
      </c>
      <c r="B43" s="156"/>
      <c r="C43" s="156"/>
      <c r="D43" s="156"/>
      <c r="E43" s="156"/>
      <c r="F43" s="156"/>
      <c r="G43" s="156"/>
      <c r="H43" s="156"/>
      <c r="I43" s="156"/>
    </row>
    <row r="44" spans="1:9">
      <c r="A44" s="3" t="s">
        <v>284</v>
      </c>
      <c r="B44" s="156"/>
      <c r="C44" s="156"/>
      <c r="D44" s="156"/>
      <c r="E44" s="18">
        <v>4543</v>
      </c>
      <c r="F44" s="18">
        <v>5269</v>
      </c>
      <c r="G44" s="18">
        <v>7749</v>
      </c>
      <c r="H44" s="156"/>
      <c r="I44" s="156"/>
    </row>
    <row r="45" spans="1:9">
      <c r="A45" s="3" t="s">
        <v>285</v>
      </c>
      <c r="B45" s="156"/>
      <c r="C45" s="156"/>
      <c r="D45" s="156"/>
      <c r="E45" s="18">
        <v>3760</v>
      </c>
      <c r="F45" s="18">
        <v>4264</v>
      </c>
      <c r="G45" s="18">
        <v>7711</v>
      </c>
      <c r="H45" s="156"/>
      <c r="I45" s="156"/>
    </row>
    <row r="46" spans="1:9">
      <c r="A46" s="3" t="s">
        <v>286</v>
      </c>
      <c r="B46" s="156"/>
      <c r="C46" s="156"/>
      <c r="D46" s="156"/>
      <c r="E46" s="18">
        <v>1577</v>
      </c>
      <c r="F46" s="18">
        <v>2388</v>
      </c>
      <c r="G46" s="18">
        <v>5687</v>
      </c>
      <c r="H46" s="156"/>
      <c r="I46" s="156"/>
    </row>
    <row r="47" spans="1:9">
      <c r="A47" s="3" t="s">
        <v>287</v>
      </c>
      <c r="B47" s="156"/>
      <c r="C47" s="156"/>
      <c r="D47" s="156"/>
      <c r="E47" s="18">
        <v>1434</v>
      </c>
      <c r="F47" s="18">
        <v>1719</v>
      </c>
      <c r="G47" s="18">
        <v>2708</v>
      </c>
      <c r="H47" s="156"/>
      <c r="I47" s="156"/>
    </row>
    <row r="48" spans="1:9">
      <c r="A48" s="156"/>
      <c r="B48" s="156"/>
      <c r="C48" s="156"/>
      <c r="D48" s="156"/>
      <c r="E48" s="156"/>
      <c r="F48" s="156"/>
      <c r="G48" s="156"/>
      <c r="H48" s="156"/>
      <c r="I48" s="156"/>
    </row>
    <row r="49" spans="1:9">
      <c r="A49" s="95" t="s">
        <v>288</v>
      </c>
      <c r="B49" s="156"/>
      <c r="C49" s="156"/>
      <c r="D49" s="156"/>
      <c r="E49" s="156"/>
      <c r="F49" s="156"/>
      <c r="G49" s="156"/>
      <c r="H49" s="156"/>
      <c r="I49" s="156"/>
    </row>
    <row r="50" spans="1:9">
      <c r="A50" s="38"/>
      <c r="B50" s="38"/>
      <c r="C50" s="38"/>
      <c r="D50" s="38"/>
      <c r="E50" s="38" t="s">
        <v>177</v>
      </c>
      <c r="F50" s="38" t="s">
        <v>178</v>
      </c>
      <c r="G50" s="38" t="s">
        <v>179</v>
      </c>
      <c r="H50" s="38"/>
      <c r="I50" s="38"/>
    </row>
    <row r="51" spans="1:9">
      <c r="A51" s="51" t="s">
        <v>289</v>
      </c>
      <c r="B51" s="156"/>
      <c r="C51" s="156"/>
      <c r="D51" s="156"/>
      <c r="E51" s="9">
        <v>0.59</v>
      </c>
      <c r="F51" s="9">
        <v>0.66</v>
      </c>
      <c r="G51" s="9">
        <v>0.74</v>
      </c>
      <c r="H51" s="156"/>
      <c r="I51" s="156"/>
    </row>
    <row r="52" spans="1:9">
      <c r="A52" s="51" t="s">
        <v>290</v>
      </c>
      <c r="B52" s="156"/>
      <c r="C52" s="156"/>
      <c r="D52" s="156"/>
      <c r="E52" s="9">
        <v>0.36</v>
      </c>
      <c r="F52" s="9">
        <v>0.54</v>
      </c>
      <c r="G52" s="9">
        <v>0.79</v>
      </c>
      <c r="H52" s="156"/>
      <c r="I52" s="156"/>
    </row>
    <row r="53" spans="1:9">
      <c r="A53" s="51" t="s">
        <v>291</v>
      </c>
      <c r="B53" s="156"/>
      <c r="C53" s="156"/>
      <c r="D53" s="156"/>
      <c r="E53" s="9">
        <v>0.41</v>
      </c>
      <c r="F53" s="9">
        <v>0.51</v>
      </c>
      <c r="G53" s="9">
        <v>0.74</v>
      </c>
      <c r="H53" s="156"/>
      <c r="I53" s="156"/>
    </row>
    <row r="54" spans="1:9">
      <c r="A54" s="51" t="s">
        <v>292</v>
      </c>
      <c r="B54" s="156"/>
      <c r="C54" s="156"/>
      <c r="D54" s="156"/>
      <c r="E54" s="9">
        <v>0.31</v>
      </c>
      <c r="F54" s="9">
        <v>0.45</v>
      </c>
      <c r="G54" s="9">
        <v>0.68</v>
      </c>
      <c r="H54" s="156"/>
      <c r="I54" s="156"/>
    </row>
    <row r="55" spans="1:9">
      <c r="A55" s="50" t="s">
        <v>293</v>
      </c>
      <c r="B55" s="156"/>
      <c r="C55" s="156"/>
      <c r="D55" s="156"/>
      <c r="E55" s="156"/>
      <c r="F55" s="156"/>
      <c r="G55" s="156"/>
      <c r="H55" s="156"/>
      <c r="I55" s="156"/>
    </row>
  </sheetData>
  <mergeCells count="1">
    <mergeCell ref="A1:I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I40"/>
  <sheetViews>
    <sheetView showGridLines="0" zoomScale="85" workbookViewId="0">
      <pane xSplit="1" ySplit="5" topLeftCell="B6" activePane="bottomRight" state="frozen"/>
      <selection pane="bottomRight"/>
      <selection pane="bottomLeft"/>
      <selection pane="topRight"/>
    </sheetView>
  </sheetViews>
  <sheetFormatPr defaultRowHeight="15"/>
  <cols>
    <col min="1" max="1" width="35" customWidth="1"/>
    <col min="2" max="7" width="15" customWidth="1"/>
    <col min="8" max="9" width="17" customWidth="1"/>
  </cols>
  <sheetData>
    <row r="1" spans="1:9">
      <c r="A1" s="208" t="s">
        <v>294</v>
      </c>
      <c r="B1" s="207"/>
      <c r="C1" s="207"/>
      <c r="D1" s="207"/>
      <c r="E1" s="207"/>
      <c r="F1" s="207"/>
      <c r="G1" s="207"/>
      <c r="H1" s="207"/>
      <c r="I1" s="207"/>
    </row>
    <row r="2" spans="1:9">
      <c r="A2" s="1" t="s">
        <v>295</v>
      </c>
      <c r="B2" s="156"/>
      <c r="C2" s="156"/>
      <c r="D2" s="156"/>
      <c r="E2" s="156"/>
      <c r="F2" s="156"/>
      <c r="G2" s="156"/>
      <c r="H2" s="156"/>
      <c r="I2" s="156"/>
    </row>
    <row r="3" spans="1:9">
      <c r="A3" s="156"/>
      <c r="B3" s="156"/>
      <c r="C3" s="156"/>
      <c r="D3" s="156"/>
      <c r="E3" s="156"/>
      <c r="F3" s="156"/>
      <c r="G3" s="156"/>
      <c r="H3" s="156"/>
      <c r="I3" s="156"/>
    </row>
    <row r="4" spans="1:9">
      <c r="A4" s="6"/>
      <c r="B4" s="6" t="s">
        <v>296</v>
      </c>
      <c r="C4" s="6" t="s">
        <v>297</v>
      </c>
      <c r="D4" s="6" t="s">
        <v>298</v>
      </c>
      <c r="E4" s="6" t="s">
        <v>299</v>
      </c>
      <c r="F4" s="6" t="s">
        <v>300</v>
      </c>
      <c r="G4" s="6" t="s">
        <v>301</v>
      </c>
      <c r="H4" s="6" t="s">
        <v>302</v>
      </c>
      <c r="I4" s="6" t="s">
        <v>303</v>
      </c>
    </row>
    <row r="5" spans="1:9">
      <c r="A5" s="156"/>
      <c r="B5" s="8" t="s">
        <v>304</v>
      </c>
      <c r="C5" s="8" t="s">
        <v>304</v>
      </c>
      <c r="D5" s="8" t="s">
        <v>304</v>
      </c>
      <c r="E5" s="8" t="s">
        <v>304</v>
      </c>
      <c r="F5" s="8" t="s">
        <v>304</v>
      </c>
      <c r="G5" s="8" t="s">
        <v>304</v>
      </c>
      <c r="H5" s="156"/>
      <c r="I5" s="156"/>
    </row>
    <row r="6" spans="1:9">
      <c r="A6" s="156"/>
      <c r="B6" s="156"/>
      <c r="C6" s="156"/>
      <c r="D6" s="156"/>
      <c r="E6" s="156"/>
      <c r="F6" s="156"/>
      <c r="G6" s="156"/>
      <c r="H6" s="156"/>
      <c r="I6" s="156"/>
    </row>
    <row r="7" spans="1:9">
      <c r="A7" s="95" t="s">
        <v>259</v>
      </c>
      <c r="B7" s="156"/>
      <c r="C7" s="156"/>
      <c r="D7" s="156"/>
      <c r="E7" s="156"/>
      <c r="F7" s="156"/>
      <c r="G7" s="156"/>
      <c r="H7" s="156"/>
      <c r="I7" s="156"/>
    </row>
    <row r="8" spans="1:9">
      <c r="A8" s="15" t="s">
        <v>233</v>
      </c>
      <c r="B8" s="175">
        <f>Assumptions!H55</f>
        <v>33500</v>
      </c>
      <c r="C8" s="175">
        <f>Assumptions!I55</f>
        <v>35000</v>
      </c>
      <c r="D8" s="175">
        <f>Assumptions!J55</f>
        <v>32000</v>
      </c>
      <c r="E8" s="175">
        <f>Assumptions!K55</f>
        <v>31000</v>
      </c>
      <c r="F8" s="175">
        <f>Assumptions!L55</f>
        <v>28000</v>
      </c>
      <c r="G8" s="175">
        <f>Assumptions!M55</f>
        <v>27500</v>
      </c>
      <c r="H8" s="57">
        <f>'Historical P&amp;L'!F8+'Historical P&amp;L'!G8+B8+C8</f>
        <v>106000</v>
      </c>
      <c r="I8" s="30">
        <f>SUM(D8:G8)</f>
        <v>118500</v>
      </c>
    </row>
    <row r="9" spans="1:9">
      <c r="A9" s="31" t="s">
        <v>260</v>
      </c>
      <c r="B9" s="58">
        <f>(B8-'Historical P&amp;L'!G8)/'Historical P&amp;L'!G8</f>
        <v>0.40402347024308466</v>
      </c>
      <c r="C9" s="25">
        <f>(C8-B8)/B8</f>
        <v>4.4776119402985072E-2</v>
      </c>
      <c r="D9" s="25">
        <f>(D8-C8)/C8</f>
        <v>-8.5714285714285715E-2</v>
      </c>
      <c r="E9" s="25">
        <f>(E8-D8)/D8</f>
        <v>-3.125E-2</v>
      </c>
      <c r="F9" s="25">
        <f>(F8-E8)/E8</f>
        <v>-9.6774193548387094E-2</v>
      </c>
      <c r="G9" s="25">
        <f>(G8-F8)/F8</f>
        <v>-1.7857142857142856E-2</v>
      </c>
      <c r="H9" s="156"/>
      <c r="I9" s="156"/>
    </row>
    <row r="10" spans="1:9">
      <c r="A10" s="3" t="s">
        <v>261</v>
      </c>
      <c r="B10" s="59">
        <f>Assumptions!H60</f>
        <v>26800</v>
      </c>
      <c r="C10" s="59">
        <f>Assumptions!I60</f>
        <v>28000</v>
      </c>
      <c r="D10" s="59">
        <f>Assumptions!J60</f>
        <v>25280</v>
      </c>
      <c r="E10" s="59">
        <f>Assumptions!K60</f>
        <v>24490</v>
      </c>
      <c r="F10" s="59">
        <f>Assumptions!L60</f>
        <v>21840</v>
      </c>
      <c r="G10" s="59">
        <f>Assumptions!M60</f>
        <v>21450</v>
      </c>
      <c r="H10" s="59">
        <f>'Historical P&amp;L'!F10+'Historical P&amp;L'!G10+B10+C10</f>
        <v>84425</v>
      </c>
      <c r="I10" s="32">
        <f>SUM(D10:G10)</f>
        <v>93060</v>
      </c>
    </row>
    <row r="11" spans="1:9">
      <c r="A11" s="3" t="s">
        <v>262</v>
      </c>
      <c r="B11" s="32">
        <f>B8-B10</f>
        <v>6700</v>
      </c>
      <c r="C11" s="32">
        <f>C8-C10</f>
        <v>7000</v>
      </c>
      <c r="D11" s="32">
        <f>D8-D10</f>
        <v>6720</v>
      </c>
      <c r="E11" s="32">
        <f>E8-E10</f>
        <v>6510</v>
      </c>
      <c r="F11" s="32">
        <f>F8-F10</f>
        <v>6160</v>
      </c>
      <c r="G11" s="32">
        <f>G8-G10</f>
        <v>6050</v>
      </c>
      <c r="H11" s="59">
        <f>'Historical P&amp;L'!F11+'Historical P&amp;L'!G11+B11+C11</f>
        <v>21575</v>
      </c>
      <c r="I11" s="32">
        <f>SUM(D11:G11)</f>
        <v>25440</v>
      </c>
    </row>
    <row r="12" spans="1:9">
      <c r="A12" s="11" t="s">
        <v>305</v>
      </c>
      <c r="B12" s="59">
        <f>Assumptions!H62</f>
        <v>9380</v>
      </c>
      <c r="C12" s="59">
        <f>Assumptions!I62</f>
        <v>10640</v>
      </c>
      <c r="D12" s="59">
        <f>Assumptions!J62</f>
        <v>10112</v>
      </c>
      <c r="E12" s="59">
        <f>Assumptions!K62</f>
        <v>10285.799999999999</v>
      </c>
      <c r="F12" s="59">
        <f>Assumptions!L62</f>
        <v>9391.2000000000007</v>
      </c>
      <c r="G12" s="59">
        <f>Assumptions!M62</f>
        <v>9438</v>
      </c>
      <c r="H12" s="59">
        <f>'Historical P&amp;L'!F38+'Historical P&amp;L'!G38+B12+C12</f>
        <v>29068.976000000002</v>
      </c>
      <c r="I12" s="32">
        <f>SUM(D12:G12)</f>
        <v>39227</v>
      </c>
    </row>
    <row r="13" spans="1:9">
      <c r="A13" s="156"/>
      <c r="B13" s="156"/>
      <c r="C13" s="156"/>
      <c r="D13" s="156"/>
      <c r="E13" s="156"/>
      <c r="F13" s="156"/>
      <c r="G13" s="156"/>
      <c r="H13" s="156"/>
      <c r="I13" s="156"/>
    </row>
    <row r="14" spans="1:9">
      <c r="A14" s="95" t="s">
        <v>265</v>
      </c>
      <c r="B14" s="156"/>
      <c r="C14" s="156"/>
      <c r="D14" s="156"/>
      <c r="E14" s="156"/>
      <c r="F14" s="156"/>
      <c r="G14" s="156"/>
      <c r="H14" s="156"/>
      <c r="I14" s="156"/>
    </row>
    <row r="15" spans="1:9">
      <c r="A15" s="14" t="s">
        <v>197</v>
      </c>
      <c r="B15" s="60">
        <f>Assumptions!H15</f>
        <v>0.81</v>
      </c>
      <c r="C15" s="60">
        <f>Assumptions!I15</f>
        <v>0.78</v>
      </c>
      <c r="D15" s="60">
        <f>Assumptions!J15</f>
        <v>0.72</v>
      </c>
      <c r="E15" s="60">
        <f>Assumptions!K15</f>
        <v>0.68</v>
      </c>
      <c r="F15" s="60">
        <f>Assumptions!L15</f>
        <v>0.65</v>
      </c>
      <c r="G15" s="60">
        <f>Assumptions!M15</f>
        <v>0.63</v>
      </c>
      <c r="H15" s="156"/>
      <c r="I15" s="156"/>
    </row>
    <row r="16" spans="1:9">
      <c r="A16" s="15" t="s">
        <v>239</v>
      </c>
      <c r="B16" s="30">
        <f>B8*B15</f>
        <v>27135</v>
      </c>
      <c r="C16" s="30">
        <f>C8*C15</f>
        <v>27300</v>
      </c>
      <c r="D16" s="30">
        <f>D8*D15</f>
        <v>23040</v>
      </c>
      <c r="E16" s="30">
        <f>E8*E15</f>
        <v>21080</v>
      </c>
      <c r="F16" s="30">
        <f>F8*F15</f>
        <v>18200</v>
      </c>
      <c r="G16" s="30">
        <f>G8*G15</f>
        <v>17325</v>
      </c>
      <c r="H16" s="57">
        <f>'Historical P&amp;L'!F17+'Historical P&amp;L'!G17+B16+C16</f>
        <v>80077.52</v>
      </c>
      <c r="I16" s="30">
        <f>SUM(D16:G16)</f>
        <v>79645</v>
      </c>
    </row>
    <row r="17" spans="1:9">
      <c r="A17" s="3" t="s">
        <v>266</v>
      </c>
      <c r="B17" s="32">
        <f>B8-B16</f>
        <v>6365</v>
      </c>
      <c r="C17" s="32">
        <f>C8-C16</f>
        <v>7700</v>
      </c>
      <c r="D17" s="32">
        <f>D8-D16</f>
        <v>8960</v>
      </c>
      <c r="E17" s="32">
        <f>E8-E16</f>
        <v>9920</v>
      </c>
      <c r="F17" s="32">
        <f>F8-F16</f>
        <v>9800</v>
      </c>
      <c r="G17" s="32">
        <f>G8-G16</f>
        <v>10175</v>
      </c>
      <c r="H17" s="156"/>
      <c r="I17" s="156"/>
    </row>
    <row r="18" spans="1:9">
      <c r="A18" s="156"/>
      <c r="B18" s="156"/>
      <c r="C18" s="156"/>
      <c r="D18" s="156"/>
      <c r="E18" s="156"/>
      <c r="F18" s="156"/>
      <c r="G18" s="156"/>
      <c r="H18" s="156"/>
      <c r="I18" s="156"/>
    </row>
    <row r="19" spans="1:9">
      <c r="A19" s="3" t="s">
        <v>267</v>
      </c>
      <c r="B19" s="59">
        <f>B8*Assumptions!H17</f>
        <v>1507.5</v>
      </c>
      <c r="C19" s="59">
        <f>C8*Assumptions!I17</f>
        <v>1680</v>
      </c>
      <c r="D19" s="59">
        <f>D8*Assumptions!J17</f>
        <v>1760</v>
      </c>
      <c r="E19" s="59">
        <f>E8*Assumptions!K17</f>
        <v>1798</v>
      </c>
      <c r="F19" s="59">
        <f>F8*Assumptions!L17</f>
        <v>1680</v>
      </c>
      <c r="G19" s="59">
        <f>G8*Assumptions!M17</f>
        <v>1705</v>
      </c>
      <c r="H19" s="59">
        <f>'Historical P&amp;L'!F20+'Historical P&amp;L'!G20+B19+C19</f>
        <v>5659.2</v>
      </c>
      <c r="I19" s="32">
        <f>SUM(D19:G19)</f>
        <v>6943</v>
      </c>
    </row>
    <row r="20" spans="1:9">
      <c r="A20" s="3" t="s">
        <v>268</v>
      </c>
      <c r="B20" s="59">
        <f>B8*Assumptions!H18</f>
        <v>603</v>
      </c>
      <c r="C20" s="59">
        <f>C8*Assumptions!I18</f>
        <v>700</v>
      </c>
      <c r="D20" s="59">
        <f>D8*Assumptions!J18</f>
        <v>800</v>
      </c>
      <c r="E20" s="59">
        <f>E8*Assumptions!K18</f>
        <v>837</v>
      </c>
      <c r="F20" s="59">
        <f>F8*Assumptions!L18</f>
        <v>784</v>
      </c>
      <c r="G20" s="59">
        <f>G8*Assumptions!M18</f>
        <v>825</v>
      </c>
      <c r="H20" s="59">
        <f>'Historical P&amp;L'!F21+'Historical P&amp;L'!G21+B20+C20</f>
        <v>2162.12</v>
      </c>
      <c r="I20" s="32">
        <f>SUM(D20:G20)</f>
        <v>3246</v>
      </c>
    </row>
    <row r="21" spans="1:9">
      <c r="A21" s="15" t="s">
        <v>269</v>
      </c>
      <c r="B21" s="30">
        <f>B19+B20</f>
        <v>2110.5</v>
      </c>
      <c r="C21" s="30">
        <f>C19+C20</f>
        <v>2380</v>
      </c>
      <c r="D21" s="30">
        <f>D19+D20</f>
        <v>2560</v>
      </c>
      <c r="E21" s="30">
        <f>E19+E20</f>
        <v>2635</v>
      </c>
      <c r="F21" s="30">
        <f>F19+F20</f>
        <v>2464</v>
      </c>
      <c r="G21" s="30">
        <f>G19+G20</f>
        <v>2530</v>
      </c>
      <c r="H21" s="30">
        <f>H19+H20</f>
        <v>7821.32</v>
      </c>
      <c r="I21" s="30">
        <f>I19+I20</f>
        <v>10189</v>
      </c>
    </row>
    <row r="22" spans="1:9">
      <c r="A22" s="156"/>
      <c r="B22" s="156"/>
      <c r="C22" s="156"/>
      <c r="D22" s="156"/>
      <c r="E22" s="156"/>
      <c r="F22" s="156"/>
      <c r="G22" s="156"/>
      <c r="H22" s="156"/>
      <c r="I22" s="156"/>
    </row>
    <row r="23" spans="1:9">
      <c r="A23" s="15" t="s">
        <v>242</v>
      </c>
      <c r="B23" s="30">
        <f>B16-B21</f>
        <v>25024.5</v>
      </c>
      <c r="C23" s="30">
        <f>C16-C21</f>
        <v>24920</v>
      </c>
      <c r="D23" s="30">
        <f>D16-D21</f>
        <v>20480</v>
      </c>
      <c r="E23" s="30">
        <f>E16-E21</f>
        <v>18445</v>
      </c>
      <c r="F23" s="30">
        <f>F16-F21</f>
        <v>15736</v>
      </c>
      <c r="G23" s="30">
        <f>G16-G21</f>
        <v>14795</v>
      </c>
      <c r="H23" s="30">
        <f>H16-H21</f>
        <v>72256.200000000012</v>
      </c>
      <c r="I23" s="30">
        <f>I16-I21</f>
        <v>69456</v>
      </c>
    </row>
    <row r="24" spans="1:9">
      <c r="A24" s="15" t="s">
        <v>270</v>
      </c>
      <c r="B24" s="29">
        <f>B23/B8</f>
        <v>0.747</v>
      </c>
      <c r="C24" s="29">
        <f>C23/C8</f>
        <v>0.71199999999999997</v>
      </c>
      <c r="D24" s="29">
        <f>D23/D8</f>
        <v>0.64</v>
      </c>
      <c r="E24" s="29">
        <f>E23/E8</f>
        <v>0.59499999999999997</v>
      </c>
      <c r="F24" s="29">
        <f>F23/F8</f>
        <v>0.56200000000000006</v>
      </c>
      <c r="G24" s="29">
        <f>G23/G8</f>
        <v>0.53800000000000003</v>
      </c>
      <c r="H24" s="29">
        <f>H23/H8</f>
        <v>0.68166226415094355</v>
      </c>
      <c r="I24" s="29">
        <f>I23/I8</f>
        <v>0.58612658227848102</v>
      </c>
    </row>
    <row r="25" spans="1:9">
      <c r="A25" s="156"/>
      <c r="B25" s="156"/>
      <c r="C25" s="156"/>
      <c r="D25" s="156"/>
      <c r="E25" s="156"/>
      <c r="F25" s="156"/>
      <c r="G25" s="156"/>
      <c r="H25" s="156"/>
      <c r="I25" s="156"/>
    </row>
    <row r="26" spans="1:9">
      <c r="A26" s="3" t="s">
        <v>271</v>
      </c>
      <c r="B26" s="18">
        <v>-10</v>
      </c>
      <c r="C26" s="18">
        <v>-10</v>
      </c>
      <c r="D26" s="18">
        <v>-10</v>
      </c>
      <c r="E26" s="18">
        <v>-10</v>
      </c>
      <c r="F26" s="18">
        <v>-10</v>
      </c>
      <c r="G26" s="18">
        <v>-10</v>
      </c>
      <c r="H26" s="59">
        <f>'Historical P&amp;L'!F27+'Historical P&amp;L'!G27+B26+C26</f>
        <v>110</v>
      </c>
      <c r="I26" s="32">
        <f>SUM(D26:G26)</f>
        <v>-40</v>
      </c>
    </row>
    <row r="27" spans="1:9">
      <c r="A27" s="3" t="s">
        <v>306</v>
      </c>
      <c r="B27" s="18">
        <v>25</v>
      </c>
      <c r="C27" s="18">
        <v>25</v>
      </c>
      <c r="D27" s="18">
        <v>25</v>
      </c>
      <c r="E27" s="18">
        <v>25</v>
      </c>
      <c r="F27" s="18">
        <v>25</v>
      </c>
      <c r="G27" s="18">
        <v>25</v>
      </c>
      <c r="H27" s="18">
        <v>25</v>
      </c>
      <c r="I27" s="18">
        <v>25</v>
      </c>
    </row>
    <row r="28" spans="1:9">
      <c r="A28" s="15" t="s">
        <v>273</v>
      </c>
      <c r="B28" s="30">
        <f>B23+B26+B27</f>
        <v>25039.5</v>
      </c>
      <c r="C28" s="30">
        <f>C23+C26+C27</f>
        <v>24935</v>
      </c>
      <c r="D28" s="30">
        <f>D23+D26+D27</f>
        <v>20495</v>
      </c>
      <c r="E28" s="30">
        <f>E23+E26+E27</f>
        <v>18460</v>
      </c>
      <c r="F28" s="30">
        <f>F23+F26+F27</f>
        <v>15751</v>
      </c>
      <c r="G28" s="30">
        <f>G23+G26+G27</f>
        <v>14810</v>
      </c>
      <c r="H28" s="30">
        <f>H23+H26+H27</f>
        <v>72391.200000000012</v>
      </c>
      <c r="I28" s="30">
        <f>I23+I26+I27</f>
        <v>69441</v>
      </c>
    </row>
    <row r="29" spans="1:9">
      <c r="A29" s="51" t="s">
        <v>307</v>
      </c>
      <c r="B29" s="32">
        <f>B28*0.151</f>
        <v>3780.9645</v>
      </c>
      <c r="C29" s="32">
        <f>C28*0.151</f>
        <v>3765.1849999999999</v>
      </c>
      <c r="D29" s="32">
        <f>D28*0.151</f>
        <v>3094.7449999999999</v>
      </c>
      <c r="E29" s="32">
        <f>E28*0.151</f>
        <v>2787.46</v>
      </c>
      <c r="F29" s="32">
        <f>F28*0.151</f>
        <v>2378.4009999999998</v>
      </c>
      <c r="G29" s="32">
        <f>G28*0.151</f>
        <v>2236.31</v>
      </c>
      <c r="H29" s="32">
        <f>H28*0.151</f>
        <v>10931.071200000002</v>
      </c>
      <c r="I29" s="32">
        <f>I28*0.151</f>
        <v>10485.591</v>
      </c>
    </row>
    <row r="30" spans="1:9">
      <c r="A30" s="156"/>
      <c r="B30" s="156"/>
      <c r="C30" s="156"/>
      <c r="D30" s="156"/>
      <c r="E30" s="156"/>
      <c r="F30" s="156"/>
      <c r="G30" s="156"/>
      <c r="H30" s="156"/>
      <c r="I30" s="156"/>
    </row>
    <row r="31" spans="1:9">
      <c r="A31" s="34" t="s">
        <v>308</v>
      </c>
      <c r="B31" s="35">
        <f>B28-B29</f>
        <v>21258.535499999998</v>
      </c>
      <c r="C31" s="35">
        <f>C28-C29</f>
        <v>21169.814999999999</v>
      </c>
      <c r="D31" s="35">
        <f>D28-D29</f>
        <v>17400.255000000001</v>
      </c>
      <c r="E31" s="35">
        <f>E28-E29</f>
        <v>15672.54</v>
      </c>
      <c r="F31" s="35">
        <f>F28-F29</f>
        <v>13372.599</v>
      </c>
      <c r="G31" s="35">
        <f>G28-G29</f>
        <v>12573.69</v>
      </c>
      <c r="H31" s="35">
        <f>H28-H29</f>
        <v>61460.128800000006</v>
      </c>
      <c r="I31" s="35">
        <f>I28-I29</f>
        <v>58955.409</v>
      </c>
    </row>
    <row r="32" spans="1:9">
      <c r="A32" s="156"/>
      <c r="B32" s="156"/>
      <c r="C32" s="156"/>
      <c r="D32" s="156"/>
      <c r="E32" s="156"/>
      <c r="F32" s="156"/>
      <c r="G32" s="156"/>
      <c r="H32" s="156"/>
      <c r="I32" s="156"/>
    </row>
    <row r="33" spans="1:9">
      <c r="A33" s="14" t="s">
        <v>277</v>
      </c>
      <c r="B33" s="26">
        <v>19.149999999999999</v>
      </c>
      <c r="C33" s="36">
        <f>C31/Assumptions!I26*1.02</f>
        <v>18.809417508710801</v>
      </c>
      <c r="D33" s="36">
        <f>D31/Assumptions!J26*1.02</f>
        <v>15.568649210526317</v>
      </c>
      <c r="E33" s="36">
        <f>E31/Assumptions!K26*1.02</f>
        <v>14.146894513274338</v>
      </c>
      <c r="F33" s="36">
        <f>F31/Assumptions!L26*1.02</f>
        <v>12.200403381037567</v>
      </c>
      <c r="G33" s="36">
        <f>G31/Assumptions!M26*1.02</f>
        <v>11.606483076923077</v>
      </c>
      <c r="H33" s="61">
        <f>'Historical P&amp;L'!F35+'Historical P&amp;L'!G35+B33+C33</f>
        <v>54.939417508710797</v>
      </c>
      <c r="I33" s="62">
        <f>SUM(D33:G33)</f>
        <v>53.522430181761301</v>
      </c>
    </row>
    <row r="34" spans="1:9">
      <c r="A34" s="156"/>
      <c r="B34" s="156"/>
      <c r="C34" s="156"/>
      <c r="D34" s="156"/>
      <c r="E34" s="156"/>
      <c r="F34" s="156"/>
      <c r="G34" s="156"/>
      <c r="H34" s="156"/>
      <c r="I34" s="156"/>
    </row>
    <row r="35" spans="1:9">
      <c r="A35" s="3" t="s">
        <v>309</v>
      </c>
      <c r="B35" s="156"/>
      <c r="C35" s="156"/>
      <c r="D35" s="156"/>
      <c r="E35" s="156"/>
      <c r="F35" s="156"/>
      <c r="G35" s="156"/>
      <c r="H35" s="58">
        <f>(H8-'Historical P&amp;L'!H8)/'Historical P&amp;L'!H8</f>
        <v>1.8358169025388587</v>
      </c>
      <c r="I35" s="25">
        <f>(I8-H8)/H8</f>
        <v>0.11792452830188679</v>
      </c>
    </row>
    <row r="36" spans="1:9">
      <c r="A36" s="156"/>
      <c r="B36" s="156"/>
      <c r="C36" s="156"/>
      <c r="D36" s="156"/>
      <c r="E36" s="156"/>
      <c r="F36" s="156"/>
      <c r="G36" s="156"/>
      <c r="H36" s="156"/>
      <c r="I36" s="156"/>
    </row>
    <row r="37" spans="1:9">
      <c r="A37" s="95" t="s">
        <v>310</v>
      </c>
      <c r="B37" s="156"/>
      <c r="C37" s="156"/>
      <c r="D37" s="156"/>
      <c r="E37" s="156"/>
      <c r="F37" s="156"/>
      <c r="G37" s="156"/>
      <c r="H37" s="156"/>
      <c r="I37" s="156"/>
    </row>
    <row r="38" spans="1:9">
      <c r="A38" s="209" t="s">
        <v>311</v>
      </c>
      <c r="B38" s="207"/>
      <c r="C38" s="207"/>
      <c r="D38" s="207"/>
      <c r="E38" s="207"/>
      <c r="F38" s="207"/>
      <c r="G38" s="207"/>
      <c r="H38" s="207"/>
      <c r="I38" s="207"/>
    </row>
    <row r="39" spans="1:9">
      <c r="A39" s="209" t="s">
        <v>312</v>
      </c>
      <c r="B39" s="207"/>
      <c r="C39" s="207"/>
      <c r="D39" s="207"/>
      <c r="E39" s="207"/>
      <c r="F39" s="207"/>
      <c r="G39" s="207"/>
      <c r="H39" s="207"/>
      <c r="I39" s="207"/>
    </row>
    <row r="40" spans="1:9">
      <c r="A40" s="209" t="s">
        <v>313</v>
      </c>
      <c r="B40" s="207"/>
      <c r="C40" s="207"/>
      <c r="D40" s="207"/>
      <c r="E40" s="207"/>
      <c r="F40" s="207"/>
      <c r="G40" s="207"/>
      <c r="H40" s="207"/>
      <c r="I40" s="207"/>
    </row>
  </sheetData>
  <mergeCells count="4">
    <mergeCell ref="A1:I1"/>
    <mergeCell ref="A40:I40"/>
    <mergeCell ref="A38:I38"/>
    <mergeCell ref="A39:I39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G35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5" customWidth="1"/>
    <col min="2" max="7" width="16" customWidth="1"/>
  </cols>
  <sheetData>
    <row r="1" spans="1:7">
      <c r="A1" s="208" t="s">
        <v>314</v>
      </c>
      <c r="B1" s="207"/>
      <c r="C1" s="207"/>
      <c r="D1" s="207"/>
      <c r="E1" s="207"/>
      <c r="F1" s="207"/>
      <c r="G1" s="207"/>
    </row>
    <row r="2" spans="1:7">
      <c r="A2" s="1" t="s">
        <v>315</v>
      </c>
      <c r="B2" s="156"/>
      <c r="C2" s="156"/>
      <c r="D2" s="156"/>
      <c r="E2" s="156"/>
      <c r="F2" s="156"/>
      <c r="G2" s="156"/>
    </row>
    <row r="3" spans="1:7">
      <c r="A3" s="156"/>
      <c r="B3" s="156"/>
      <c r="C3" s="156"/>
      <c r="D3" s="156"/>
      <c r="E3" s="156"/>
      <c r="F3" s="156"/>
      <c r="G3" s="156"/>
    </row>
    <row r="4" spans="1:7">
      <c r="A4" s="6"/>
      <c r="B4" s="6" t="s">
        <v>251</v>
      </c>
      <c r="C4" s="6" t="s">
        <v>253</v>
      </c>
      <c r="D4" s="6" t="s">
        <v>254</v>
      </c>
      <c r="E4" s="6" t="s">
        <v>255</v>
      </c>
      <c r="F4" s="6" t="s">
        <v>316</v>
      </c>
      <c r="G4" s="6" t="s">
        <v>317</v>
      </c>
    </row>
    <row r="5" spans="1:7">
      <c r="A5" s="156"/>
      <c r="B5" s="156"/>
      <c r="C5" s="156"/>
      <c r="D5" s="156"/>
      <c r="E5" s="156"/>
      <c r="F5" s="156"/>
      <c r="G5" s="156"/>
    </row>
    <row r="6" spans="1:7">
      <c r="A6" s="95" t="s">
        <v>318</v>
      </c>
      <c r="B6" s="156"/>
      <c r="C6" s="156"/>
      <c r="D6" s="156"/>
      <c r="E6" s="156"/>
      <c r="F6" s="156"/>
      <c r="G6" s="156"/>
    </row>
    <row r="7" spans="1:7">
      <c r="A7" s="3" t="s">
        <v>319</v>
      </c>
      <c r="B7" s="18">
        <v>7552</v>
      </c>
      <c r="C7" s="18">
        <v>9642</v>
      </c>
      <c r="D7" s="18">
        <v>12000</v>
      </c>
      <c r="E7" s="18">
        <v>9642</v>
      </c>
      <c r="F7" s="32">
        <f>E7+E20-E27+300-E29</f>
        <v>10442</v>
      </c>
      <c r="G7" s="32">
        <f>F7+F20-F27+300-F29</f>
        <v>12292</v>
      </c>
    </row>
    <row r="8" spans="1:7">
      <c r="A8" s="3" t="s">
        <v>320</v>
      </c>
      <c r="B8" s="18">
        <v>663</v>
      </c>
      <c r="C8" s="18">
        <v>665</v>
      </c>
      <c r="D8" s="18">
        <v>5500</v>
      </c>
      <c r="E8" s="18">
        <v>7058</v>
      </c>
      <c r="F8" s="18">
        <v>8000</v>
      </c>
      <c r="G8" s="18">
        <v>9000</v>
      </c>
    </row>
    <row r="9" spans="1:7">
      <c r="A9" s="15" t="s">
        <v>321</v>
      </c>
      <c r="B9" s="30">
        <f>B7+B8</f>
        <v>8215</v>
      </c>
      <c r="C9" s="30">
        <f>C7+C8</f>
        <v>10307</v>
      </c>
      <c r="D9" s="30">
        <f>D7+D8</f>
        <v>17500</v>
      </c>
      <c r="E9" s="30">
        <f>E7+E8</f>
        <v>16700</v>
      </c>
      <c r="F9" s="30">
        <f>F7+F8</f>
        <v>18442</v>
      </c>
      <c r="G9" s="30">
        <f>G7+G8</f>
        <v>21292</v>
      </c>
    </row>
    <row r="10" spans="1:7">
      <c r="A10" s="3" t="s">
        <v>322</v>
      </c>
      <c r="B10" s="18">
        <v>9007</v>
      </c>
      <c r="C10" s="18">
        <v>8355</v>
      </c>
      <c r="D10" s="18">
        <v>8200</v>
      </c>
      <c r="E10" s="18">
        <v>8000</v>
      </c>
      <c r="F10" s="18">
        <v>8000</v>
      </c>
      <c r="G10" s="18">
        <v>8500</v>
      </c>
    </row>
    <row r="11" spans="1:7">
      <c r="A11" s="3" t="s">
        <v>323</v>
      </c>
      <c r="B11" s="18">
        <v>42528</v>
      </c>
      <c r="C11" s="18">
        <v>46590</v>
      </c>
      <c r="D11" s="18">
        <v>48000</v>
      </c>
      <c r="E11" s="18">
        <v>50000</v>
      </c>
      <c r="F11" s="18">
        <v>48000</v>
      </c>
      <c r="G11" s="18">
        <v>52000</v>
      </c>
    </row>
    <row r="12" spans="1:7">
      <c r="A12" s="15" t="s">
        <v>324</v>
      </c>
      <c r="B12" s="18">
        <v>73053</v>
      </c>
      <c r="C12" s="18">
        <v>82798</v>
      </c>
      <c r="D12" s="18">
        <v>80000</v>
      </c>
      <c r="E12" s="18">
        <v>82798</v>
      </c>
      <c r="F12" s="18">
        <v>92000</v>
      </c>
      <c r="G12" s="18">
        <v>102000</v>
      </c>
    </row>
    <row r="13" spans="1:7">
      <c r="A13" s="156"/>
      <c r="B13" s="156"/>
      <c r="C13" s="156"/>
      <c r="D13" s="156"/>
      <c r="E13" s="156"/>
      <c r="F13" s="156"/>
      <c r="G13" s="156"/>
    </row>
    <row r="14" spans="1:7">
      <c r="A14" s="95" t="s">
        <v>325</v>
      </c>
      <c r="B14" s="156"/>
      <c r="C14" s="156"/>
      <c r="D14" s="156"/>
      <c r="E14" s="156"/>
      <c r="F14" s="156"/>
      <c r="G14" s="156"/>
    </row>
    <row r="15" spans="1:7">
      <c r="A15" s="15" t="s">
        <v>326</v>
      </c>
      <c r="B15" s="18">
        <v>14355</v>
      </c>
      <c r="C15" s="18">
        <v>14577</v>
      </c>
      <c r="D15" s="18">
        <v>11800</v>
      </c>
      <c r="E15" s="18">
        <v>10100</v>
      </c>
      <c r="F15" s="18">
        <v>9500</v>
      </c>
      <c r="G15" s="18">
        <v>9000</v>
      </c>
    </row>
    <row r="16" spans="1:7">
      <c r="A16" s="15" t="s">
        <v>327</v>
      </c>
      <c r="B16" s="18">
        <v>48633</v>
      </c>
      <c r="C16" s="18">
        <v>54165</v>
      </c>
      <c r="D16" s="18">
        <v>50000</v>
      </c>
      <c r="E16" s="18">
        <v>54165</v>
      </c>
      <c r="F16" s="18">
        <v>65000</v>
      </c>
      <c r="G16" s="18">
        <v>78000</v>
      </c>
    </row>
    <row r="17" spans="1:7">
      <c r="A17" s="156"/>
      <c r="B17" s="156"/>
      <c r="C17" s="156"/>
      <c r="D17" s="156"/>
      <c r="E17" s="156"/>
      <c r="F17" s="156"/>
      <c r="G17" s="156"/>
    </row>
    <row r="18" spans="1:7">
      <c r="A18" s="95" t="s">
        <v>328</v>
      </c>
      <c r="B18" s="156"/>
      <c r="C18" s="156"/>
      <c r="D18" s="156"/>
      <c r="E18" s="156"/>
      <c r="F18" s="156"/>
      <c r="G18" s="156"/>
    </row>
    <row r="19" spans="1:7">
      <c r="A19" s="14" t="s">
        <v>329</v>
      </c>
      <c r="B19" s="30">
        <f>B15-B9</f>
        <v>6140</v>
      </c>
      <c r="C19" s="30">
        <f>C15-C9</f>
        <v>4270</v>
      </c>
      <c r="D19" s="30">
        <f>D15-D9</f>
        <v>-5700</v>
      </c>
      <c r="E19" s="30">
        <f>E15-E9</f>
        <v>-6600</v>
      </c>
      <c r="F19" s="30">
        <f>F15-F9</f>
        <v>-8942</v>
      </c>
      <c r="G19" s="30">
        <f>G15-G9</f>
        <v>-12292</v>
      </c>
    </row>
    <row r="20" spans="1:7">
      <c r="A20" s="156"/>
      <c r="B20" s="156"/>
      <c r="C20" s="156"/>
      <c r="D20" s="156"/>
      <c r="E20" s="156"/>
      <c r="F20" s="156"/>
      <c r="G20" s="156"/>
    </row>
    <row r="21" spans="1:7">
      <c r="A21" s="95" t="s">
        <v>330</v>
      </c>
      <c r="B21" s="156"/>
      <c r="C21" s="156"/>
      <c r="D21" s="156"/>
      <c r="E21" s="156"/>
      <c r="F21" s="156"/>
      <c r="G21" s="156"/>
    </row>
    <row r="22" spans="1:7">
      <c r="A22" s="38"/>
      <c r="B22" s="38" t="s">
        <v>178</v>
      </c>
      <c r="C22" s="38" t="s">
        <v>179</v>
      </c>
      <c r="D22" s="38" t="s">
        <v>180</v>
      </c>
      <c r="E22" s="38" t="s">
        <v>181</v>
      </c>
      <c r="F22" s="38" t="s">
        <v>302</v>
      </c>
      <c r="G22" s="156"/>
    </row>
    <row r="23" spans="1:7">
      <c r="A23" s="15" t="s">
        <v>331</v>
      </c>
      <c r="B23" s="18">
        <v>8410</v>
      </c>
      <c r="C23" s="18">
        <v>11900</v>
      </c>
      <c r="D23" s="18">
        <v>17000</v>
      </c>
      <c r="E23" s="18">
        <v>18000</v>
      </c>
      <c r="F23" s="30">
        <f>SUM(B23:E23)</f>
        <v>55310</v>
      </c>
      <c r="G23" s="156"/>
    </row>
    <row r="24" spans="1:7">
      <c r="A24" s="3" t="s">
        <v>332</v>
      </c>
      <c r="B24" s="18">
        <v>-4500</v>
      </c>
      <c r="C24" s="18">
        <v>-5000</v>
      </c>
      <c r="D24" s="18">
        <v>-7000</v>
      </c>
      <c r="E24" s="18">
        <v>-8500</v>
      </c>
      <c r="F24" s="30">
        <f>SUM(B24:E24)</f>
        <v>-25000</v>
      </c>
      <c r="G24" s="156"/>
    </row>
    <row r="25" spans="1:7">
      <c r="A25" s="34" t="s">
        <v>333</v>
      </c>
      <c r="B25" s="35">
        <f>B23+B24</f>
        <v>3910</v>
      </c>
      <c r="C25" s="35">
        <f>C23+C24</f>
        <v>6900</v>
      </c>
      <c r="D25" s="35">
        <f>D23+D24</f>
        <v>10000</v>
      </c>
      <c r="E25" s="35">
        <f>E23+E24</f>
        <v>9500</v>
      </c>
      <c r="F25" s="35">
        <f>F23+F24</f>
        <v>30310</v>
      </c>
      <c r="G25" s="156"/>
    </row>
    <row r="26" spans="1:7">
      <c r="A26" s="3" t="s">
        <v>334</v>
      </c>
      <c r="B26" s="9">
        <v>0.28699999999999998</v>
      </c>
      <c r="C26" s="9">
        <v>0.28899999999999998</v>
      </c>
      <c r="D26" s="9">
        <v>0.29899999999999999</v>
      </c>
      <c r="E26" s="9">
        <v>0.28399999999999997</v>
      </c>
      <c r="F26" s="156"/>
      <c r="G26" s="156"/>
    </row>
    <row r="27" spans="1:7">
      <c r="A27" s="156"/>
      <c r="B27" s="156"/>
      <c r="C27" s="156"/>
      <c r="D27" s="156"/>
      <c r="E27" s="156"/>
      <c r="F27" s="156"/>
      <c r="G27" s="156"/>
    </row>
    <row r="28" spans="1:7">
      <c r="A28" s="95" t="s">
        <v>335</v>
      </c>
      <c r="B28" s="156"/>
      <c r="C28" s="156"/>
      <c r="D28" s="156"/>
      <c r="E28" s="156"/>
      <c r="F28" s="156"/>
      <c r="G28" s="156"/>
    </row>
    <row r="29" spans="1:7">
      <c r="A29" s="3" t="s">
        <v>336</v>
      </c>
      <c r="B29" s="18">
        <v>-300</v>
      </c>
      <c r="C29" s="18">
        <v>-350</v>
      </c>
      <c r="D29" s="18">
        <v>-400</v>
      </c>
      <c r="E29" s="18">
        <v>-500</v>
      </c>
      <c r="F29" s="32">
        <f>SUM(B29:E29)</f>
        <v>-1550</v>
      </c>
      <c r="G29" s="156"/>
    </row>
    <row r="30" spans="1:7">
      <c r="A30" s="3" t="s">
        <v>337</v>
      </c>
      <c r="B30" s="18">
        <v>-131</v>
      </c>
      <c r="C30" s="18">
        <v>-171</v>
      </c>
      <c r="D30" s="18">
        <v>-171</v>
      </c>
      <c r="E30" s="18">
        <v>-171</v>
      </c>
      <c r="F30" s="32">
        <f>SUM(B30:E30)</f>
        <v>-644</v>
      </c>
      <c r="G30" s="156"/>
    </row>
    <row r="31" spans="1:7">
      <c r="A31" s="3" t="s">
        <v>338</v>
      </c>
      <c r="B31" s="18">
        <v>-2770</v>
      </c>
      <c r="C31" s="18">
        <v>-1600</v>
      </c>
      <c r="D31" s="18">
        <v>-600</v>
      </c>
      <c r="E31" s="18">
        <v>-500</v>
      </c>
      <c r="F31" s="32">
        <f>SUM(B31:E31)</f>
        <v>-5470</v>
      </c>
      <c r="G31" s="156"/>
    </row>
    <row r="32" spans="1:7">
      <c r="A32" s="156"/>
      <c r="B32" s="156"/>
      <c r="C32" s="156"/>
      <c r="D32" s="156"/>
      <c r="E32" s="156"/>
      <c r="F32" s="156"/>
      <c r="G32" s="156"/>
    </row>
    <row r="33" spans="1:7">
      <c r="A33" s="95" t="s">
        <v>339</v>
      </c>
      <c r="B33" s="156"/>
      <c r="C33" s="156"/>
      <c r="D33" s="156"/>
      <c r="E33" s="156"/>
      <c r="F33" s="156"/>
      <c r="G33" s="156"/>
    </row>
    <row r="34" spans="1:7">
      <c r="A34" s="3" t="s">
        <v>340</v>
      </c>
      <c r="B34" s="25">
        <f>-B24/B23*1.5</f>
        <v>0.80261593341260395</v>
      </c>
      <c r="C34" s="25">
        <f>-C24/C23*1.5</f>
        <v>0.63025210084033612</v>
      </c>
      <c r="D34" s="25">
        <f>-D24/D23*1.5</f>
        <v>0.61764705882352944</v>
      </c>
      <c r="E34" s="25">
        <f>-E24/E23*1.5</f>
        <v>0.70833333333333326</v>
      </c>
      <c r="F34" s="156"/>
      <c r="G34" s="156"/>
    </row>
    <row r="35" spans="1:7">
      <c r="A35" s="14" t="s">
        <v>341</v>
      </c>
      <c r="B35" s="18">
        <v>25000</v>
      </c>
      <c r="C35" s="156"/>
      <c r="D35" s="156"/>
      <c r="E35" s="156"/>
      <c r="F35" s="156"/>
      <c r="G35" s="156"/>
    </row>
  </sheetData>
  <mergeCells count="1">
    <mergeCell ref="A1:G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I89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2" width="18" customWidth="1"/>
    <col min="3" max="7" width="14" customWidth="1"/>
    <col min="8" max="8" width="40" customWidth="1"/>
  </cols>
  <sheetData>
    <row r="1" spans="1:9">
      <c r="A1" s="208" t="s">
        <v>342</v>
      </c>
      <c r="B1" s="207"/>
      <c r="C1" s="207"/>
      <c r="D1" s="207"/>
      <c r="E1" s="207"/>
      <c r="F1" s="207"/>
      <c r="G1" s="207"/>
      <c r="H1" s="207"/>
      <c r="I1" s="156"/>
    </row>
    <row r="2" spans="1:9">
      <c r="A2" s="1" t="s">
        <v>343</v>
      </c>
      <c r="B2" s="156"/>
      <c r="C2" s="156"/>
      <c r="D2" s="156"/>
      <c r="E2" s="156"/>
      <c r="F2" s="156"/>
      <c r="G2" s="156"/>
      <c r="H2" s="156"/>
      <c r="I2" s="156"/>
    </row>
    <row r="3" spans="1:9">
      <c r="A3" s="156"/>
      <c r="B3" s="156"/>
      <c r="C3" s="156"/>
      <c r="D3" s="156"/>
      <c r="E3" s="156"/>
      <c r="F3" s="156"/>
      <c r="G3" s="156"/>
      <c r="H3" s="156"/>
      <c r="I3" s="156"/>
    </row>
    <row r="4" spans="1:9">
      <c r="A4" s="6" t="s">
        <v>344</v>
      </c>
      <c r="B4" s="6" t="s">
        <v>345</v>
      </c>
      <c r="C4" s="6" t="s">
        <v>346</v>
      </c>
      <c r="D4" s="6" t="s">
        <v>347</v>
      </c>
      <c r="E4" s="6" t="s">
        <v>348</v>
      </c>
      <c r="F4" s="6" t="s">
        <v>349</v>
      </c>
      <c r="G4" s="6" t="s">
        <v>350</v>
      </c>
      <c r="H4" s="6" t="s">
        <v>351</v>
      </c>
      <c r="I4" s="156"/>
    </row>
    <row r="5" spans="1:9">
      <c r="A5" s="39" t="s">
        <v>352</v>
      </c>
      <c r="B5" s="39" t="s">
        <v>353</v>
      </c>
      <c r="C5" s="39" t="s">
        <v>354</v>
      </c>
      <c r="D5" s="39">
        <v>40</v>
      </c>
      <c r="E5" s="39" t="s">
        <v>355</v>
      </c>
      <c r="F5" s="39" t="s">
        <v>355</v>
      </c>
      <c r="G5" s="39" t="s">
        <v>356</v>
      </c>
      <c r="H5" s="40" t="s">
        <v>357</v>
      </c>
      <c r="I5" s="156"/>
    </row>
    <row r="6" spans="1:9">
      <c r="A6" s="39" t="s">
        <v>358</v>
      </c>
      <c r="B6" s="39" t="s">
        <v>359</v>
      </c>
      <c r="C6" s="39" t="s">
        <v>355</v>
      </c>
      <c r="D6" s="39">
        <v>55</v>
      </c>
      <c r="E6" s="39" t="s">
        <v>355</v>
      </c>
      <c r="F6" s="39" t="s">
        <v>360</v>
      </c>
      <c r="G6" s="39" t="s">
        <v>361</v>
      </c>
      <c r="H6" s="40" t="s">
        <v>362</v>
      </c>
      <c r="I6" s="156"/>
    </row>
    <row r="7" spans="1:9">
      <c r="A7" s="39" t="s">
        <v>363</v>
      </c>
      <c r="B7" s="39" t="s">
        <v>353</v>
      </c>
      <c r="C7" s="39" t="s">
        <v>364</v>
      </c>
      <c r="D7" s="39">
        <v>60</v>
      </c>
      <c r="E7" s="39" t="s">
        <v>355</v>
      </c>
      <c r="F7" s="39" t="s">
        <v>355</v>
      </c>
      <c r="G7" s="39" t="s">
        <v>356</v>
      </c>
      <c r="H7" s="41" t="s">
        <v>365</v>
      </c>
      <c r="I7" s="156"/>
    </row>
    <row r="8" spans="1:9">
      <c r="A8" s="39" t="s">
        <v>366</v>
      </c>
      <c r="B8" s="39" t="s">
        <v>353</v>
      </c>
      <c r="C8" s="39" t="s">
        <v>367</v>
      </c>
      <c r="D8" s="39">
        <v>0</v>
      </c>
      <c r="E8" s="39" t="s">
        <v>368</v>
      </c>
      <c r="F8" s="39" t="s">
        <v>369</v>
      </c>
      <c r="G8" s="39" t="s">
        <v>195</v>
      </c>
      <c r="H8" s="40" t="s">
        <v>370</v>
      </c>
      <c r="I8" s="156"/>
    </row>
    <row r="9" spans="1:9">
      <c r="A9" s="39" t="s">
        <v>371</v>
      </c>
      <c r="B9" s="39" t="s">
        <v>372</v>
      </c>
      <c r="C9" s="39" t="s">
        <v>373</v>
      </c>
      <c r="D9" s="39">
        <v>35</v>
      </c>
      <c r="E9" s="39" t="s">
        <v>374</v>
      </c>
      <c r="F9" s="39" t="s">
        <v>375</v>
      </c>
      <c r="G9" s="39" t="s">
        <v>376</v>
      </c>
      <c r="H9" s="40" t="s">
        <v>377</v>
      </c>
      <c r="I9" s="156"/>
    </row>
    <row r="10" spans="1:9">
      <c r="A10" s="39" t="s">
        <v>378</v>
      </c>
      <c r="B10" s="39" t="s">
        <v>379</v>
      </c>
      <c r="C10" s="39" t="s">
        <v>380</v>
      </c>
      <c r="D10" s="39">
        <v>15</v>
      </c>
      <c r="E10" s="39" t="s">
        <v>380</v>
      </c>
      <c r="F10" s="39" t="s">
        <v>380</v>
      </c>
      <c r="G10" s="39" t="s">
        <v>195</v>
      </c>
      <c r="H10" s="40" t="s">
        <v>381</v>
      </c>
      <c r="I10" s="156"/>
    </row>
    <row r="11" spans="1:9">
      <c r="A11" s="39" t="s">
        <v>382</v>
      </c>
      <c r="B11" s="39" t="s">
        <v>353</v>
      </c>
      <c r="C11" s="39" t="s">
        <v>383</v>
      </c>
      <c r="D11" s="39">
        <v>0</v>
      </c>
      <c r="E11" s="39" t="s">
        <v>384</v>
      </c>
      <c r="F11" s="39" t="s">
        <v>385</v>
      </c>
      <c r="G11" s="39" t="s">
        <v>195</v>
      </c>
      <c r="H11" s="40" t="s">
        <v>386</v>
      </c>
      <c r="I11" s="156"/>
    </row>
    <row r="12" spans="1:9">
      <c r="A12" s="39" t="s">
        <v>387</v>
      </c>
      <c r="B12" s="39" t="s">
        <v>353</v>
      </c>
      <c r="C12" s="39" t="s">
        <v>388</v>
      </c>
      <c r="D12" s="39">
        <v>0</v>
      </c>
      <c r="E12" s="39" t="s">
        <v>389</v>
      </c>
      <c r="F12" s="39" t="s">
        <v>390</v>
      </c>
      <c r="G12" s="39" t="s">
        <v>195</v>
      </c>
      <c r="H12" s="40" t="s">
        <v>391</v>
      </c>
      <c r="I12" s="156"/>
    </row>
    <row r="13" spans="1:9">
      <c r="A13" s="39" t="s">
        <v>392</v>
      </c>
      <c r="B13" s="39" t="s">
        <v>393</v>
      </c>
      <c r="C13" s="39" t="s">
        <v>394</v>
      </c>
      <c r="D13" s="39">
        <v>0</v>
      </c>
      <c r="E13" s="39" t="s">
        <v>395</v>
      </c>
      <c r="F13" s="39" t="s">
        <v>396</v>
      </c>
      <c r="G13" s="39" t="s">
        <v>195</v>
      </c>
      <c r="H13" s="40" t="s">
        <v>397</v>
      </c>
      <c r="I13" s="156"/>
    </row>
    <row r="14" spans="1:9">
      <c r="A14" s="39" t="s">
        <v>398</v>
      </c>
      <c r="B14" s="39" t="s">
        <v>399</v>
      </c>
      <c r="C14" s="39" t="s">
        <v>195</v>
      </c>
      <c r="D14" s="39">
        <v>0</v>
      </c>
      <c r="E14" s="39" t="s">
        <v>400</v>
      </c>
      <c r="F14" s="39" t="s">
        <v>400</v>
      </c>
      <c r="G14" s="39" t="s">
        <v>195</v>
      </c>
      <c r="H14" s="40" t="s">
        <v>401</v>
      </c>
      <c r="I14" s="156"/>
    </row>
    <row r="15" spans="1:9">
      <c r="A15" s="156"/>
      <c r="B15" s="156"/>
      <c r="C15" s="156"/>
      <c r="D15" s="156"/>
      <c r="E15" s="156"/>
      <c r="F15" s="156"/>
      <c r="G15" s="156"/>
      <c r="H15" s="156"/>
      <c r="I15" s="156"/>
    </row>
    <row r="16" spans="1:9">
      <c r="A16" s="156"/>
      <c r="B16" s="156"/>
      <c r="C16" s="156"/>
      <c r="D16" s="156"/>
      <c r="E16" s="156"/>
      <c r="F16" s="156"/>
      <c r="G16" s="156"/>
      <c r="H16" s="156"/>
      <c r="I16" s="156"/>
    </row>
    <row r="17" spans="1:9">
      <c r="A17" s="95" t="s">
        <v>402</v>
      </c>
      <c r="B17" s="156"/>
      <c r="C17" s="156"/>
      <c r="D17" s="156"/>
      <c r="E17" s="156"/>
      <c r="F17" s="156"/>
      <c r="G17" s="156"/>
      <c r="H17" s="156"/>
      <c r="I17" s="156"/>
    </row>
    <row r="18" spans="1:9">
      <c r="A18" s="42" t="s">
        <v>403</v>
      </c>
      <c r="B18" s="42" t="s">
        <v>404</v>
      </c>
      <c r="C18" s="42" t="s">
        <v>405</v>
      </c>
      <c r="D18" s="42" t="s">
        <v>406</v>
      </c>
      <c r="E18" s="42" t="s">
        <v>407</v>
      </c>
      <c r="F18" s="42" t="s">
        <v>408</v>
      </c>
      <c r="G18" s="42" t="s">
        <v>409</v>
      </c>
      <c r="H18" s="42" t="s">
        <v>410</v>
      </c>
      <c r="I18" s="42" t="s">
        <v>411</v>
      </c>
    </row>
    <row r="19" spans="1:9">
      <c r="A19" s="3" t="s">
        <v>412</v>
      </c>
      <c r="B19" s="9">
        <v>0.1</v>
      </c>
      <c r="C19" s="9">
        <v>0.08</v>
      </c>
      <c r="D19" s="9">
        <v>0.05</v>
      </c>
      <c r="E19" s="9">
        <v>0.03</v>
      </c>
      <c r="F19" s="9">
        <v>0.02</v>
      </c>
      <c r="G19" s="9">
        <v>0.01</v>
      </c>
      <c r="H19" s="9">
        <v>0.01</v>
      </c>
      <c r="I19" s="9">
        <v>0</v>
      </c>
    </row>
    <row r="20" spans="1:9">
      <c r="A20" s="3" t="s">
        <v>354</v>
      </c>
      <c r="B20" s="9">
        <v>0.5</v>
      </c>
      <c r="C20" s="9">
        <v>0.37</v>
      </c>
      <c r="D20" s="9">
        <v>0.25</v>
      </c>
      <c r="E20" s="9">
        <v>0.17</v>
      </c>
      <c r="F20" s="9">
        <v>0.13</v>
      </c>
      <c r="G20" s="9">
        <v>0.09</v>
      </c>
      <c r="H20" s="9">
        <v>0.06</v>
      </c>
      <c r="I20" s="9">
        <v>0.04</v>
      </c>
    </row>
    <row r="21" spans="1:9">
      <c r="A21" s="3" t="s">
        <v>413</v>
      </c>
      <c r="B21" s="10">
        <v>0.4</v>
      </c>
      <c r="C21" s="10">
        <v>0.55000000000000004</v>
      </c>
      <c r="D21" s="10">
        <v>0.7</v>
      </c>
      <c r="E21" s="10">
        <v>0.8</v>
      </c>
      <c r="F21" s="10">
        <v>0.85</v>
      </c>
      <c r="G21" s="10">
        <v>0.88</v>
      </c>
      <c r="H21" s="10">
        <v>0.9</v>
      </c>
      <c r="I21" s="10">
        <v>0.9</v>
      </c>
    </row>
    <row r="22" spans="1:9">
      <c r="A22" s="3" t="s">
        <v>414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0.02</v>
      </c>
      <c r="H22" s="9">
        <v>0.03</v>
      </c>
      <c r="I22" s="9">
        <v>0.06</v>
      </c>
    </row>
    <row r="23" spans="1:9">
      <c r="A23" s="156"/>
      <c r="B23" s="156"/>
      <c r="C23" s="156"/>
      <c r="D23" s="156"/>
      <c r="E23" s="156"/>
      <c r="F23" s="156"/>
      <c r="G23" s="156"/>
      <c r="H23" s="156"/>
      <c r="I23" s="156"/>
    </row>
    <row r="24" spans="1:9">
      <c r="A24" s="95" t="s">
        <v>415</v>
      </c>
      <c r="B24" s="156"/>
      <c r="C24" s="156"/>
      <c r="D24" s="156"/>
      <c r="E24" s="156"/>
      <c r="F24" s="156"/>
      <c r="G24" s="156"/>
      <c r="H24" s="156"/>
      <c r="I24" s="156"/>
    </row>
    <row r="25" spans="1:9">
      <c r="A25" s="38" t="s">
        <v>416</v>
      </c>
      <c r="B25" s="38" t="s">
        <v>417</v>
      </c>
      <c r="C25" s="38" t="s">
        <v>418</v>
      </c>
      <c r="D25" s="38" t="s">
        <v>419</v>
      </c>
      <c r="E25" s="156"/>
      <c r="F25" s="156"/>
      <c r="G25" s="156"/>
      <c r="H25" s="156"/>
      <c r="I25" s="156"/>
    </row>
    <row r="26" spans="1:9">
      <c r="A26" s="43" t="s">
        <v>420</v>
      </c>
      <c r="B26" s="43" t="s">
        <v>421</v>
      </c>
      <c r="C26" s="43" t="s">
        <v>422</v>
      </c>
      <c r="D26" s="43" t="s">
        <v>423</v>
      </c>
      <c r="E26" s="156"/>
      <c r="F26" s="156"/>
      <c r="G26" s="156"/>
      <c r="H26" s="156"/>
      <c r="I26" s="156"/>
    </row>
    <row r="27" spans="1:9">
      <c r="A27" s="43" t="s">
        <v>424</v>
      </c>
      <c r="B27" s="43" t="s">
        <v>425</v>
      </c>
      <c r="C27" s="43" t="s">
        <v>426</v>
      </c>
      <c r="D27" s="44" t="s">
        <v>427</v>
      </c>
      <c r="E27" s="156"/>
      <c r="F27" s="156"/>
      <c r="G27" s="156"/>
      <c r="H27" s="156"/>
      <c r="I27" s="156"/>
    </row>
    <row r="28" spans="1:9">
      <c r="A28" s="43" t="s">
        <v>428</v>
      </c>
      <c r="B28" s="43" t="s">
        <v>429</v>
      </c>
      <c r="C28" s="45" t="s">
        <v>430</v>
      </c>
      <c r="D28" s="45" t="s">
        <v>431</v>
      </c>
      <c r="E28" s="156"/>
      <c r="F28" s="156"/>
      <c r="G28" s="156"/>
      <c r="H28" s="156"/>
      <c r="I28" s="156"/>
    </row>
    <row r="29" spans="1:9">
      <c r="A29" s="156"/>
      <c r="B29" s="156"/>
      <c r="C29" s="156"/>
      <c r="D29" s="156"/>
      <c r="E29" s="156"/>
      <c r="F29" s="156"/>
      <c r="G29" s="156"/>
      <c r="H29" s="156"/>
      <c r="I29" s="156"/>
    </row>
    <row r="30" spans="1:9">
      <c r="A30" s="95" t="s">
        <v>432</v>
      </c>
      <c r="B30" s="156"/>
      <c r="C30" s="156"/>
      <c r="D30" s="156"/>
      <c r="E30" s="156"/>
      <c r="F30" s="156"/>
      <c r="G30" s="156"/>
      <c r="H30" s="156"/>
      <c r="I30" s="156"/>
    </row>
    <row r="31" spans="1:9">
      <c r="A31" s="38" t="s">
        <v>433</v>
      </c>
      <c r="B31" s="38" t="s">
        <v>434</v>
      </c>
      <c r="C31" s="38" t="s">
        <v>435</v>
      </c>
      <c r="D31" s="38" t="s">
        <v>436</v>
      </c>
      <c r="E31" s="38" t="s">
        <v>437</v>
      </c>
      <c r="F31" s="38" t="s">
        <v>438</v>
      </c>
      <c r="G31" s="38" t="s">
        <v>439</v>
      </c>
      <c r="H31" s="156"/>
      <c r="I31" s="156"/>
    </row>
    <row r="32" spans="1:9">
      <c r="A32" s="39" t="s">
        <v>440</v>
      </c>
      <c r="B32" s="39" t="s">
        <v>441</v>
      </c>
      <c r="C32" s="39" t="s">
        <v>442</v>
      </c>
      <c r="D32" s="39" t="s">
        <v>443</v>
      </c>
      <c r="E32" s="39" t="s">
        <v>444</v>
      </c>
      <c r="F32" s="39" t="s">
        <v>445</v>
      </c>
      <c r="G32" s="39" t="s">
        <v>446</v>
      </c>
      <c r="H32" s="156"/>
      <c r="I32" s="156"/>
    </row>
    <row r="33" spans="1:9">
      <c r="A33" s="39" t="s">
        <v>447</v>
      </c>
      <c r="B33" s="39" t="s">
        <v>448</v>
      </c>
      <c r="C33" s="39" t="s">
        <v>449</v>
      </c>
      <c r="D33" s="39" t="s">
        <v>450</v>
      </c>
      <c r="E33" s="39" t="s">
        <v>444</v>
      </c>
      <c r="F33" s="39" t="s">
        <v>451</v>
      </c>
      <c r="G33" s="39" t="s">
        <v>452</v>
      </c>
      <c r="H33" s="156"/>
      <c r="I33" s="156"/>
    </row>
    <row r="34" spans="1:9">
      <c r="A34" s="39" t="s">
        <v>453</v>
      </c>
      <c r="B34" s="39" t="s">
        <v>448</v>
      </c>
      <c r="C34" s="39" t="s">
        <v>449</v>
      </c>
      <c r="D34" s="39" t="s">
        <v>454</v>
      </c>
      <c r="E34" s="39" t="s">
        <v>455</v>
      </c>
      <c r="F34" s="39" t="s">
        <v>456</v>
      </c>
      <c r="G34" s="39" t="s">
        <v>457</v>
      </c>
      <c r="H34" s="156"/>
      <c r="I34" s="156"/>
    </row>
    <row r="35" spans="1:9">
      <c r="A35" s="39" t="s">
        <v>458</v>
      </c>
      <c r="B35" s="39" t="s">
        <v>459</v>
      </c>
      <c r="C35" s="39" t="s">
        <v>460</v>
      </c>
      <c r="D35" s="39" t="s">
        <v>461</v>
      </c>
      <c r="E35" s="39" t="s">
        <v>462</v>
      </c>
      <c r="F35" s="39" t="s">
        <v>463</v>
      </c>
      <c r="G35" s="39" t="s">
        <v>464</v>
      </c>
      <c r="H35" s="156"/>
      <c r="I35" s="156"/>
    </row>
    <row r="36" spans="1:9">
      <c r="A36" s="39" t="s">
        <v>465</v>
      </c>
      <c r="B36" s="39" t="s">
        <v>466</v>
      </c>
      <c r="C36" s="39" t="s">
        <v>467</v>
      </c>
      <c r="D36" s="39" t="s">
        <v>468</v>
      </c>
      <c r="E36" s="39" t="s">
        <v>469</v>
      </c>
      <c r="F36" s="39" t="s">
        <v>469</v>
      </c>
      <c r="G36" s="39" t="s">
        <v>470</v>
      </c>
      <c r="H36" s="156"/>
      <c r="I36" s="156"/>
    </row>
    <row r="37" spans="1:9">
      <c r="A37" s="156"/>
      <c r="B37" s="156"/>
      <c r="C37" s="156"/>
      <c r="D37" s="156"/>
      <c r="E37" s="156"/>
      <c r="F37" s="156"/>
      <c r="G37" s="156"/>
      <c r="H37" s="156"/>
      <c r="I37" s="156"/>
    </row>
    <row r="38" spans="1:9">
      <c r="A38" s="34" t="s">
        <v>471</v>
      </c>
      <c r="B38" s="3" t="e">
        <f ca="1">(Per-Die _xludf.Yield) ^ (Stack Height)</f>
        <v>#NAME?</v>
      </c>
      <c r="C38" s="156"/>
      <c r="D38" s="156"/>
      <c r="E38" s="1" t="s">
        <v>472</v>
      </c>
      <c r="F38" s="156"/>
      <c r="G38" s="156"/>
      <c r="H38" s="156"/>
      <c r="I38" s="156"/>
    </row>
    <row r="39" spans="1:9">
      <c r="A39" s="156"/>
      <c r="B39" s="156"/>
      <c r="C39" s="156"/>
      <c r="D39" s="156"/>
      <c r="E39" s="156"/>
      <c r="F39" s="156"/>
      <c r="G39" s="156"/>
      <c r="H39" s="156"/>
      <c r="I39" s="156"/>
    </row>
    <row r="40" spans="1:9">
      <c r="A40" s="95" t="s">
        <v>473</v>
      </c>
      <c r="B40" s="156"/>
      <c r="C40" s="156"/>
      <c r="D40" s="156"/>
      <c r="E40" s="156"/>
      <c r="F40" s="156"/>
      <c r="G40" s="156"/>
      <c r="H40" s="156"/>
      <c r="I40" s="156"/>
    </row>
    <row r="41" spans="1:9">
      <c r="A41" s="38"/>
      <c r="B41" s="38" t="s">
        <v>474</v>
      </c>
      <c r="C41" s="38" t="s">
        <v>475</v>
      </c>
      <c r="D41" s="38" t="s">
        <v>476</v>
      </c>
      <c r="E41" s="38" t="s">
        <v>477</v>
      </c>
      <c r="F41" s="156"/>
      <c r="G41" s="156"/>
      <c r="H41" s="156"/>
      <c r="I41" s="156"/>
    </row>
    <row r="42" spans="1:9">
      <c r="A42" s="3" t="s">
        <v>478</v>
      </c>
      <c r="B42" s="9">
        <v>0.08</v>
      </c>
      <c r="C42" s="9">
        <v>0.12</v>
      </c>
      <c r="D42" s="10">
        <v>0.14000000000000001</v>
      </c>
      <c r="E42" s="10">
        <v>0.18</v>
      </c>
      <c r="F42" s="156"/>
      <c r="G42" s="156"/>
      <c r="H42" s="156"/>
      <c r="I42" s="156"/>
    </row>
    <row r="43" spans="1:9">
      <c r="A43" s="3" t="s">
        <v>479</v>
      </c>
      <c r="B43" s="9">
        <v>0.15</v>
      </c>
      <c r="C43" s="9">
        <v>0.2</v>
      </c>
      <c r="D43" s="10">
        <v>0.25</v>
      </c>
      <c r="E43" s="9">
        <v>0.2</v>
      </c>
      <c r="F43" s="156"/>
      <c r="G43" s="156"/>
      <c r="H43" s="156"/>
      <c r="I43" s="156"/>
    </row>
    <row r="44" spans="1:9">
      <c r="A44" s="14" t="s">
        <v>480</v>
      </c>
      <c r="B44" s="29">
        <f>B42-B43</f>
        <v>-6.9999999999999993E-2</v>
      </c>
      <c r="C44" s="29">
        <f>C42-C43</f>
        <v>-8.0000000000000016E-2</v>
      </c>
      <c r="D44" s="29">
        <f>D42-D43</f>
        <v>-0.10999999999999999</v>
      </c>
      <c r="E44" s="29">
        <f>E42-E43</f>
        <v>-2.0000000000000018E-2</v>
      </c>
      <c r="F44" s="156"/>
      <c r="G44" s="156"/>
      <c r="H44" s="156"/>
      <c r="I44" s="156"/>
    </row>
    <row r="45" spans="1:9">
      <c r="A45" s="156"/>
      <c r="B45" s="156"/>
      <c r="C45" s="156"/>
      <c r="D45" s="156"/>
      <c r="E45" s="156"/>
      <c r="F45" s="156"/>
      <c r="G45" s="156"/>
      <c r="H45" s="156"/>
      <c r="I45" s="156"/>
    </row>
    <row r="46" spans="1:9">
      <c r="A46" s="95" t="s">
        <v>481</v>
      </c>
      <c r="B46" s="156"/>
      <c r="C46" s="156"/>
      <c r="D46" s="156"/>
      <c r="E46" s="156"/>
      <c r="F46" s="156"/>
      <c r="G46" s="156"/>
      <c r="H46" s="156"/>
      <c r="I46" s="156"/>
    </row>
    <row r="47" spans="1:9">
      <c r="A47" s="38" t="s">
        <v>482</v>
      </c>
      <c r="B47" s="38" t="s">
        <v>483</v>
      </c>
      <c r="C47" s="38" t="s">
        <v>484</v>
      </c>
      <c r="D47" s="38" t="s">
        <v>485</v>
      </c>
      <c r="E47" s="38"/>
      <c r="F47" s="38"/>
      <c r="G47" s="38"/>
      <c r="H47" s="38"/>
      <c r="I47" s="156"/>
    </row>
    <row r="48" spans="1:9">
      <c r="A48" s="50" t="s">
        <v>486</v>
      </c>
      <c r="B48" s="66" t="s">
        <v>487</v>
      </c>
      <c r="C48" s="210" t="s">
        <v>488</v>
      </c>
      <c r="D48" s="204"/>
      <c r="E48" s="205"/>
      <c r="F48" s="211" t="s">
        <v>489</v>
      </c>
      <c r="G48" s="204"/>
      <c r="H48" s="205"/>
      <c r="I48" s="156"/>
    </row>
    <row r="49" spans="1:9">
      <c r="A49" s="50" t="s">
        <v>490</v>
      </c>
      <c r="B49" s="66" t="s">
        <v>491</v>
      </c>
      <c r="C49" s="210" t="s">
        <v>492</v>
      </c>
      <c r="D49" s="204"/>
      <c r="E49" s="205"/>
      <c r="F49" s="211" t="s">
        <v>493</v>
      </c>
      <c r="G49" s="204"/>
      <c r="H49" s="205"/>
      <c r="I49" s="156"/>
    </row>
    <row r="50" spans="1:9">
      <c r="A50" s="50" t="s">
        <v>494</v>
      </c>
      <c r="B50" s="66" t="s">
        <v>495</v>
      </c>
      <c r="C50" s="210" t="s">
        <v>496</v>
      </c>
      <c r="D50" s="204"/>
      <c r="E50" s="205"/>
      <c r="F50" s="211" t="s">
        <v>497</v>
      </c>
      <c r="G50" s="204"/>
      <c r="H50" s="205"/>
      <c r="I50" s="156"/>
    </row>
    <row r="51" spans="1:9">
      <c r="A51" s="50" t="s">
        <v>498</v>
      </c>
      <c r="B51" s="66" t="s">
        <v>499</v>
      </c>
      <c r="C51" s="210" t="s">
        <v>500</v>
      </c>
      <c r="D51" s="204"/>
      <c r="E51" s="205"/>
      <c r="F51" s="211" t="s">
        <v>501</v>
      </c>
      <c r="G51" s="204"/>
      <c r="H51" s="205"/>
      <c r="I51" s="156"/>
    </row>
    <row r="52" spans="1:9">
      <c r="A52" s="50" t="s">
        <v>502</v>
      </c>
      <c r="B52" s="66" t="s">
        <v>503</v>
      </c>
      <c r="C52" s="210" t="s">
        <v>504</v>
      </c>
      <c r="D52" s="204"/>
      <c r="E52" s="205"/>
      <c r="F52" s="211" t="s">
        <v>505</v>
      </c>
      <c r="G52" s="204"/>
      <c r="H52" s="205"/>
      <c r="I52" s="156"/>
    </row>
    <row r="53" spans="1:9">
      <c r="A53" s="156"/>
      <c r="B53" s="156"/>
      <c r="C53" s="156"/>
      <c r="D53" s="156"/>
      <c r="E53" s="156"/>
      <c r="F53" s="156"/>
      <c r="G53" s="156"/>
      <c r="H53" s="156"/>
      <c r="I53" s="156"/>
    </row>
    <row r="54" spans="1:9">
      <c r="A54" s="95" t="s">
        <v>506</v>
      </c>
      <c r="B54" s="156"/>
      <c r="C54" s="156"/>
      <c r="D54" s="156"/>
      <c r="E54" s="156"/>
      <c r="F54" s="156"/>
      <c r="G54" s="156"/>
      <c r="H54" s="156"/>
      <c r="I54" s="156"/>
    </row>
    <row r="55" spans="1:9">
      <c r="A55" s="38" t="s">
        <v>126</v>
      </c>
      <c r="B55" s="38" t="s">
        <v>127</v>
      </c>
      <c r="C55" s="38" t="s">
        <v>128</v>
      </c>
      <c r="D55" s="38" t="s">
        <v>485</v>
      </c>
      <c r="E55" s="38"/>
      <c r="F55" s="38"/>
      <c r="G55" s="38"/>
      <c r="H55" s="38"/>
      <c r="I55" s="156"/>
    </row>
    <row r="56" spans="1:9">
      <c r="A56" s="50" t="s">
        <v>507</v>
      </c>
      <c r="B56" s="66" t="s">
        <v>508</v>
      </c>
      <c r="C56" s="210" t="s">
        <v>509</v>
      </c>
      <c r="D56" s="204"/>
      <c r="E56" s="205"/>
      <c r="F56" s="211" t="s">
        <v>510</v>
      </c>
      <c r="G56" s="204"/>
      <c r="H56" s="205"/>
      <c r="I56" s="156"/>
    </row>
    <row r="57" spans="1:9">
      <c r="A57" s="50" t="s">
        <v>511</v>
      </c>
      <c r="B57" s="66" t="s">
        <v>512</v>
      </c>
      <c r="C57" s="210" t="s">
        <v>513</v>
      </c>
      <c r="D57" s="204"/>
      <c r="E57" s="205"/>
      <c r="F57" s="211" t="s">
        <v>514</v>
      </c>
      <c r="G57" s="204"/>
      <c r="H57" s="205"/>
      <c r="I57" s="156"/>
    </row>
    <row r="58" spans="1:9">
      <c r="A58" s="50" t="s">
        <v>515</v>
      </c>
      <c r="B58" s="66" t="s">
        <v>516</v>
      </c>
      <c r="C58" s="210" t="s">
        <v>517</v>
      </c>
      <c r="D58" s="204"/>
      <c r="E58" s="205"/>
      <c r="F58" s="211" t="s">
        <v>518</v>
      </c>
      <c r="G58" s="204"/>
      <c r="H58" s="205"/>
      <c r="I58" s="156"/>
    </row>
    <row r="59" spans="1:9">
      <c r="A59" s="50" t="s">
        <v>519</v>
      </c>
      <c r="B59" s="66" t="s">
        <v>520</v>
      </c>
      <c r="C59" s="210" t="s">
        <v>521</v>
      </c>
      <c r="D59" s="204"/>
      <c r="E59" s="205"/>
      <c r="F59" s="211" t="s">
        <v>510</v>
      </c>
      <c r="G59" s="204"/>
      <c r="H59" s="205"/>
      <c r="I59" s="156"/>
    </row>
    <row r="60" spans="1:9">
      <c r="A60" s="50" t="s">
        <v>522</v>
      </c>
      <c r="B60" s="66" t="s">
        <v>523</v>
      </c>
      <c r="C60" s="210" t="s">
        <v>524</v>
      </c>
      <c r="D60" s="204"/>
      <c r="E60" s="205"/>
      <c r="F60" s="211" t="s">
        <v>525</v>
      </c>
      <c r="G60" s="204"/>
      <c r="H60" s="205"/>
      <c r="I60" s="156"/>
    </row>
    <row r="61" spans="1:9">
      <c r="A61" s="50" t="s">
        <v>526</v>
      </c>
      <c r="B61" s="66" t="s">
        <v>527</v>
      </c>
      <c r="C61" s="210" t="s">
        <v>528</v>
      </c>
      <c r="D61" s="204"/>
      <c r="E61" s="205"/>
      <c r="F61" s="211" t="s">
        <v>529</v>
      </c>
      <c r="G61" s="204"/>
      <c r="H61" s="205"/>
      <c r="I61" s="156"/>
    </row>
    <row r="62" spans="1:9">
      <c r="A62" s="50" t="s">
        <v>530</v>
      </c>
      <c r="B62" s="66" t="s">
        <v>531</v>
      </c>
      <c r="C62" s="210" t="s">
        <v>532</v>
      </c>
      <c r="D62" s="204"/>
      <c r="E62" s="205"/>
      <c r="F62" s="211" t="s">
        <v>533</v>
      </c>
      <c r="G62" s="204"/>
      <c r="H62" s="205"/>
      <c r="I62" s="156"/>
    </row>
    <row r="63" spans="1:9">
      <c r="A63" s="50" t="s">
        <v>534</v>
      </c>
      <c r="B63" s="66" t="s">
        <v>535</v>
      </c>
      <c r="C63" s="210" t="s">
        <v>536</v>
      </c>
      <c r="D63" s="204"/>
      <c r="E63" s="205"/>
      <c r="F63" s="211" t="s">
        <v>537</v>
      </c>
      <c r="G63" s="204"/>
      <c r="H63" s="205"/>
      <c r="I63" s="156"/>
    </row>
    <row r="64" spans="1:9">
      <c r="A64" s="50" t="s">
        <v>538</v>
      </c>
      <c r="B64" s="66" t="s">
        <v>539</v>
      </c>
      <c r="C64" s="210" t="s">
        <v>540</v>
      </c>
      <c r="D64" s="204"/>
      <c r="E64" s="205"/>
      <c r="F64" s="211" t="s">
        <v>541</v>
      </c>
      <c r="G64" s="204"/>
      <c r="H64" s="205"/>
      <c r="I64" s="156"/>
    </row>
    <row r="65" spans="1:9">
      <c r="A65" s="50" t="s">
        <v>542</v>
      </c>
      <c r="B65" s="66" t="s">
        <v>543</v>
      </c>
      <c r="C65" s="210" t="s">
        <v>544</v>
      </c>
      <c r="D65" s="204"/>
      <c r="E65" s="205"/>
      <c r="F65" s="211" t="s">
        <v>545</v>
      </c>
      <c r="G65" s="204"/>
      <c r="H65" s="205"/>
      <c r="I65" s="156"/>
    </row>
    <row r="66" spans="1:9">
      <c r="A66" s="50" t="s">
        <v>546</v>
      </c>
      <c r="B66" s="66" t="s">
        <v>547</v>
      </c>
      <c r="C66" s="210" t="s">
        <v>548</v>
      </c>
      <c r="D66" s="204"/>
      <c r="E66" s="205"/>
      <c r="F66" s="211" t="s">
        <v>549</v>
      </c>
      <c r="G66" s="204"/>
      <c r="H66" s="205"/>
      <c r="I66" s="156"/>
    </row>
    <row r="67" spans="1:9">
      <c r="A67" s="50" t="s">
        <v>550</v>
      </c>
      <c r="B67" s="66" t="s">
        <v>551</v>
      </c>
      <c r="C67" s="210" t="s">
        <v>552</v>
      </c>
      <c r="D67" s="204"/>
      <c r="E67" s="205"/>
      <c r="F67" s="211" t="s">
        <v>553</v>
      </c>
      <c r="G67" s="204"/>
      <c r="H67" s="205"/>
      <c r="I67" s="156"/>
    </row>
    <row r="68" spans="1:9">
      <c r="A68" s="156"/>
      <c r="B68" s="156"/>
      <c r="C68" s="156"/>
      <c r="D68" s="156"/>
      <c r="E68" s="156"/>
      <c r="F68" s="156"/>
      <c r="G68" s="156"/>
      <c r="H68" s="156"/>
      <c r="I68" s="156"/>
    </row>
    <row r="69" spans="1:9">
      <c r="A69" s="95" t="s">
        <v>554</v>
      </c>
      <c r="B69" s="156"/>
      <c r="C69" s="156"/>
      <c r="D69" s="156"/>
      <c r="E69" s="156"/>
      <c r="F69" s="156"/>
      <c r="G69" s="156"/>
      <c r="H69" s="156"/>
      <c r="I69" s="156"/>
    </row>
    <row r="70" spans="1:9">
      <c r="A70" s="38" t="s">
        <v>555</v>
      </c>
      <c r="B70" s="38" t="s">
        <v>556</v>
      </c>
      <c r="C70" s="38" t="s">
        <v>557</v>
      </c>
      <c r="D70" s="38" t="s">
        <v>558</v>
      </c>
      <c r="E70" s="38"/>
      <c r="F70" s="38"/>
      <c r="G70" s="38"/>
      <c r="H70" s="38"/>
      <c r="I70" s="156"/>
    </row>
    <row r="71" spans="1:9">
      <c r="A71" s="50" t="s">
        <v>559</v>
      </c>
      <c r="B71" s="9">
        <v>0.62</v>
      </c>
      <c r="C71" s="43" t="s">
        <v>560</v>
      </c>
      <c r="D71" s="210" t="s">
        <v>561</v>
      </c>
      <c r="E71" s="204"/>
      <c r="F71" s="204"/>
      <c r="G71" s="204"/>
      <c r="H71" s="205"/>
      <c r="I71" s="156"/>
    </row>
    <row r="72" spans="1:9">
      <c r="A72" s="50" t="s">
        <v>562</v>
      </c>
      <c r="B72" s="9">
        <v>0.21</v>
      </c>
      <c r="C72" s="43" t="s">
        <v>563</v>
      </c>
      <c r="D72" s="210" t="s">
        <v>564</v>
      </c>
      <c r="E72" s="204"/>
      <c r="F72" s="204"/>
      <c r="G72" s="204"/>
      <c r="H72" s="205"/>
      <c r="I72" s="156"/>
    </row>
    <row r="73" spans="1:9">
      <c r="A73" s="50" t="s">
        <v>565</v>
      </c>
      <c r="B73" s="9">
        <v>0.17</v>
      </c>
      <c r="C73" s="43" t="s">
        <v>566</v>
      </c>
      <c r="D73" s="210" t="s">
        <v>567</v>
      </c>
      <c r="E73" s="204"/>
      <c r="F73" s="204"/>
      <c r="G73" s="204"/>
      <c r="H73" s="205"/>
      <c r="I73" s="156"/>
    </row>
    <row r="74" spans="1:9">
      <c r="A74" s="156"/>
      <c r="B74" s="156"/>
      <c r="C74" s="156"/>
      <c r="D74" s="156"/>
      <c r="E74" s="156"/>
      <c r="F74" s="156"/>
      <c r="G74" s="156"/>
      <c r="H74" s="156"/>
      <c r="I74" s="156"/>
    </row>
    <row r="75" spans="1:9">
      <c r="A75" s="95" t="s">
        <v>568</v>
      </c>
      <c r="B75" s="156"/>
      <c r="C75" s="156"/>
      <c r="D75" s="156"/>
      <c r="E75" s="156"/>
      <c r="F75" s="156"/>
      <c r="G75" s="156"/>
      <c r="H75" s="156"/>
      <c r="I75" s="156"/>
    </row>
    <row r="76" spans="1:9">
      <c r="A76" s="38" t="s">
        <v>569</v>
      </c>
      <c r="B76" s="38" t="s">
        <v>570</v>
      </c>
      <c r="C76" s="38" t="s">
        <v>571</v>
      </c>
      <c r="D76" s="38" t="s">
        <v>572</v>
      </c>
      <c r="E76" s="38" t="s">
        <v>484</v>
      </c>
      <c r="F76" s="38"/>
      <c r="G76" s="38"/>
      <c r="H76" s="38"/>
      <c r="I76" s="156"/>
    </row>
    <row r="77" spans="1:9">
      <c r="A77" s="51" t="s">
        <v>573</v>
      </c>
      <c r="B77" s="66" t="s">
        <v>559</v>
      </c>
      <c r="C77" s="66" t="s">
        <v>574</v>
      </c>
      <c r="D77" s="66" t="s">
        <v>575</v>
      </c>
      <c r="E77" s="210" t="s">
        <v>576</v>
      </c>
      <c r="F77" s="204"/>
      <c r="G77" s="205"/>
      <c r="H77" s="156"/>
      <c r="I77" s="156"/>
    </row>
    <row r="78" spans="1:9">
      <c r="A78" s="51" t="s">
        <v>577</v>
      </c>
      <c r="B78" s="66" t="s">
        <v>559</v>
      </c>
      <c r="C78" s="66" t="s">
        <v>578</v>
      </c>
      <c r="D78" s="66" t="s">
        <v>579</v>
      </c>
      <c r="E78" s="210" t="s">
        <v>580</v>
      </c>
      <c r="F78" s="204"/>
      <c r="G78" s="205"/>
      <c r="H78" s="156"/>
      <c r="I78" s="156"/>
    </row>
    <row r="79" spans="1:9">
      <c r="A79" s="51" t="s">
        <v>581</v>
      </c>
      <c r="B79" s="66" t="s">
        <v>565</v>
      </c>
      <c r="C79" s="66" t="s">
        <v>578</v>
      </c>
      <c r="D79" s="66" t="s">
        <v>582</v>
      </c>
      <c r="E79" s="210" t="s">
        <v>583</v>
      </c>
      <c r="F79" s="204"/>
      <c r="G79" s="205"/>
      <c r="H79" s="156"/>
      <c r="I79" s="156"/>
    </row>
    <row r="80" spans="1:9">
      <c r="A80" s="51" t="s">
        <v>584</v>
      </c>
      <c r="B80" s="66" t="s">
        <v>562</v>
      </c>
      <c r="C80" s="66" t="s">
        <v>585</v>
      </c>
      <c r="D80" s="66" t="s">
        <v>353</v>
      </c>
      <c r="E80" s="210" t="s">
        <v>586</v>
      </c>
      <c r="F80" s="204"/>
      <c r="G80" s="205"/>
      <c r="H80" s="156"/>
      <c r="I80" s="156"/>
    </row>
    <row r="81" spans="1:9">
      <c r="A81" s="51" t="s">
        <v>587</v>
      </c>
      <c r="B81" s="66" t="s">
        <v>562</v>
      </c>
      <c r="C81" s="66" t="s">
        <v>588</v>
      </c>
      <c r="D81" s="66" t="s">
        <v>589</v>
      </c>
      <c r="E81" s="210" t="s">
        <v>590</v>
      </c>
      <c r="F81" s="204"/>
      <c r="G81" s="205"/>
      <c r="H81" s="156"/>
      <c r="I81" s="156"/>
    </row>
    <row r="82" spans="1:9">
      <c r="A82" s="51" t="s">
        <v>591</v>
      </c>
      <c r="B82" s="66" t="s">
        <v>562</v>
      </c>
      <c r="C82" s="66" t="s">
        <v>592</v>
      </c>
      <c r="D82" s="66" t="s">
        <v>353</v>
      </c>
      <c r="E82" s="210" t="s">
        <v>593</v>
      </c>
      <c r="F82" s="204"/>
      <c r="G82" s="205"/>
      <c r="H82" s="156"/>
      <c r="I82" s="156"/>
    </row>
    <row r="83" spans="1:9">
      <c r="A83" s="156"/>
      <c r="B83" s="156"/>
      <c r="C83" s="156"/>
      <c r="D83" s="156"/>
      <c r="E83" s="156"/>
      <c r="F83" s="156"/>
      <c r="G83" s="156"/>
      <c r="H83" s="156"/>
      <c r="I83" s="156"/>
    </row>
    <row r="84" spans="1:9">
      <c r="A84" s="95" t="s">
        <v>594</v>
      </c>
      <c r="B84" s="156"/>
      <c r="C84" s="156"/>
      <c r="D84" s="156"/>
      <c r="E84" s="156"/>
      <c r="F84" s="156"/>
      <c r="G84" s="156"/>
      <c r="H84" s="156"/>
      <c r="I84" s="156"/>
    </row>
    <row r="85" spans="1:9">
      <c r="A85" s="38"/>
      <c r="B85" s="38" t="s">
        <v>475</v>
      </c>
      <c r="C85" s="38" t="s">
        <v>476</v>
      </c>
      <c r="D85" s="38" t="s">
        <v>477</v>
      </c>
      <c r="E85" s="38" t="s">
        <v>595</v>
      </c>
      <c r="F85" s="38"/>
      <c r="G85" s="38"/>
      <c r="H85" s="38"/>
      <c r="I85" s="156"/>
    </row>
    <row r="86" spans="1:9">
      <c r="A86" s="50" t="s">
        <v>596</v>
      </c>
      <c r="B86" s="18">
        <v>330</v>
      </c>
      <c r="C86" s="18">
        <v>552</v>
      </c>
      <c r="D86" s="56">
        <v>843</v>
      </c>
      <c r="E86" s="156"/>
      <c r="F86" s="156"/>
      <c r="G86" s="156"/>
      <c r="H86" s="156"/>
      <c r="I86" s="156"/>
    </row>
    <row r="87" spans="1:9">
      <c r="A87" s="51" t="s">
        <v>597</v>
      </c>
      <c r="B87" s="156"/>
      <c r="C87" s="146">
        <f>C86/B86-1</f>
        <v>0.67272727272727262</v>
      </c>
      <c r="D87" s="146">
        <f>D86/C86-1</f>
        <v>0.52717391304347827</v>
      </c>
      <c r="E87" s="156"/>
      <c r="F87" s="156"/>
      <c r="G87" s="156"/>
      <c r="H87" s="156"/>
      <c r="I87" s="156"/>
    </row>
    <row r="88" spans="1:9">
      <c r="A88" s="51" t="s">
        <v>598</v>
      </c>
      <c r="B88" s="9">
        <v>0.113</v>
      </c>
      <c r="C88" s="9">
        <v>0.192</v>
      </c>
      <c r="D88" s="9">
        <v>0.157</v>
      </c>
      <c r="E88" s="156"/>
      <c r="F88" s="156"/>
      <c r="G88" s="156"/>
      <c r="H88" s="156"/>
      <c r="I88" s="156"/>
    </row>
    <row r="89" spans="1:9">
      <c r="A89" s="51" t="s">
        <v>599</v>
      </c>
      <c r="B89" s="9">
        <v>0.15</v>
      </c>
      <c r="C89" s="9">
        <v>0.25</v>
      </c>
      <c r="D89" s="9">
        <v>0.3</v>
      </c>
      <c r="E89" s="156"/>
      <c r="F89" s="156"/>
      <c r="G89" s="156"/>
      <c r="H89" s="156"/>
      <c r="I89" s="156"/>
    </row>
  </sheetData>
  <mergeCells count="44">
    <mergeCell ref="E82:G82"/>
    <mergeCell ref="F59:H59"/>
    <mergeCell ref="C63:E63"/>
    <mergeCell ref="F51:H51"/>
    <mergeCell ref="E81:G81"/>
    <mergeCell ref="C66:E66"/>
    <mergeCell ref="C57:E57"/>
    <mergeCell ref="F60:H60"/>
    <mergeCell ref="F49:H49"/>
    <mergeCell ref="D72:H72"/>
    <mergeCell ref="F57:H57"/>
    <mergeCell ref="C49:E49"/>
    <mergeCell ref="D71:H71"/>
    <mergeCell ref="F64:H64"/>
    <mergeCell ref="C62:E62"/>
    <mergeCell ref="F63:H63"/>
    <mergeCell ref="C58:E58"/>
    <mergeCell ref="F65:H65"/>
    <mergeCell ref="D73:H73"/>
    <mergeCell ref="E79:G79"/>
    <mergeCell ref="E80:G80"/>
    <mergeCell ref="C52:E52"/>
    <mergeCell ref="C61:E61"/>
    <mergeCell ref="C48:E48"/>
    <mergeCell ref="F56:H56"/>
    <mergeCell ref="F58:H58"/>
    <mergeCell ref="F52:H52"/>
    <mergeCell ref="F67:H67"/>
    <mergeCell ref="F48:H48"/>
    <mergeCell ref="F61:H61"/>
    <mergeCell ref="C67:E67"/>
    <mergeCell ref="C64:E64"/>
    <mergeCell ref="A1:H1"/>
    <mergeCell ref="C59:E59"/>
    <mergeCell ref="F62:H62"/>
    <mergeCell ref="C51:E51"/>
    <mergeCell ref="E77:G77"/>
    <mergeCell ref="C60:E60"/>
    <mergeCell ref="C65:E65"/>
    <mergeCell ref="C50:E50"/>
    <mergeCell ref="F50:H50"/>
    <mergeCell ref="E78:G78"/>
    <mergeCell ref="C56:E56"/>
    <mergeCell ref="F66:H66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</sheetPr>
  <dimension ref="A1:K80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2" customWidth="1"/>
    <col min="2" max="11" width="14" customWidth="1"/>
  </cols>
  <sheetData>
    <row r="1" spans="1:11">
      <c r="A1" s="208" t="s">
        <v>600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</row>
    <row r="2" spans="1:11">
      <c r="A2" s="1" t="s">
        <v>601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1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</row>
    <row r="4" spans="1:11">
      <c r="A4" s="95" t="s">
        <v>602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</row>
    <row r="5" spans="1:11">
      <c r="A5" s="6"/>
      <c r="B5" s="6" t="s">
        <v>603</v>
      </c>
      <c r="C5" s="6" t="s">
        <v>604</v>
      </c>
      <c r="D5" s="6" t="s">
        <v>605</v>
      </c>
      <c r="E5" s="6" t="s">
        <v>606</v>
      </c>
      <c r="F5" s="6" t="s">
        <v>607</v>
      </c>
      <c r="G5" s="6" t="s">
        <v>608</v>
      </c>
      <c r="H5" s="6" t="s">
        <v>180</v>
      </c>
      <c r="I5" s="6" t="s">
        <v>181</v>
      </c>
      <c r="J5" s="6" t="s">
        <v>182</v>
      </c>
      <c r="K5" s="6" t="s">
        <v>183</v>
      </c>
    </row>
    <row r="6" spans="1:11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</row>
    <row r="7" spans="1:11">
      <c r="A7" s="51" t="s">
        <v>609</v>
      </c>
      <c r="B7" s="18">
        <v>165</v>
      </c>
      <c r="C7" s="18">
        <v>168</v>
      </c>
      <c r="D7" s="18">
        <v>170</v>
      </c>
      <c r="E7" s="18">
        <v>172</v>
      </c>
      <c r="F7" s="18">
        <v>175</v>
      </c>
      <c r="G7" s="18">
        <v>178</v>
      </c>
      <c r="H7" s="18">
        <v>180</v>
      </c>
      <c r="I7" s="18">
        <v>183</v>
      </c>
      <c r="J7" s="18">
        <v>185</v>
      </c>
      <c r="K7" s="18">
        <v>188</v>
      </c>
    </row>
    <row r="8" spans="1:11">
      <c r="A8" s="51" t="s">
        <v>610</v>
      </c>
      <c r="B8" s="18">
        <v>100</v>
      </c>
      <c r="C8" s="18">
        <v>102</v>
      </c>
      <c r="D8" s="18">
        <v>106</v>
      </c>
      <c r="E8" s="18">
        <v>112</v>
      </c>
      <c r="F8" s="18">
        <v>120</v>
      </c>
      <c r="G8" s="18">
        <v>128</v>
      </c>
      <c r="H8" s="18">
        <v>135</v>
      </c>
      <c r="I8" s="18">
        <v>140</v>
      </c>
      <c r="J8" s="18">
        <v>143</v>
      </c>
      <c r="K8" s="18">
        <v>145</v>
      </c>
    </row>
    <row r="9" spans="1:11">
      <c r="A9" s="51" t="s">
        <v>611</v>
      </c>
      <c r="B9" s="156"/>
      <c r="C9" s="25">
        <f>(C7*C8)/(B7*B8)-1</f>
        <v>3.8545454545454438E-2</v>
      </c>
      <c r="D9" s="25">
        <f>(D7*D8)/(C7*C8)-1</f>
        <v>5.1587301587301626E-2</v>
      </c>
      <c r="E9" s="25">
        <f>(E7*E8)/(D7*D8)-1</f>
        <v>6.9034406215316313E-2</v>
      </c>
      <c r="F9" s="25">
        <f>(F7*F8)/(E7*E8)-1</f>
        <v>9.011627906976738E-2</v>
      </c>
      <c r="G9" s="25">
        <f>(G7*G8)/(F7*F8)-1</f>
        <v>8.495238095238089E-2</v>
      </c>
      <c r="H9" s="25">
        <f>(H7*H8)/(G7*G8)-1</f>
        <v>6.6537921348314599E-2</v>
      </c>
      <c r="I9" s="25">
        <f>(I7*I8)/(H7*H8)-1</f>
        <v>5.4320987654320918E-2</v>
      </c>
      <c r="J9" s="25">
        <f>(J7*J8)/(I7*I8)-1</f>
        <v>3.2591725214676126E-2</v>
      </c>
      <c r="K9" s="25">
        <f>(K7*K8)/(J7*J8)-1</f>
        <v>3.0429030429030446E-2</v>
      </c>
    </row>
    <row r="10" spans="1:11">
      <c r="A10" s="99" t="s">
        <v>612</v>
      </c>
      <c r="B10" s="56">
        <v>12</v>
      </c>
      <c r="C10" s="56">
        <v>14</v>
      </c>
      <c r="D10" s="56">
        <v>16</v>
      </c>
      <c r="E10" s="56">
        <v>20</v>
      </c>
      <c r="F10" s="56">
        <v>25</v>
      </c>
      <c r="G10" s="56">
        <v>32</v>
      </c>
      <c r="H10" s="56">
        <v>38</v>
      </c>
      <c r="I10" s="56">
        <v>42</v>
      </c>
      <c r="J10" s="56">
        <v>45</v>
      </c>
      <c r="K10" s="56">
        <v>48</v>
      </c>
    </row>
    <row r="11" spans="1:11">
      <c r="A11" s="51" t="s">
        <v>613</v>
      </c>
      <c r="B11" s="13">
        <v>3</v>
      </c>
      <c r="C11" s="13">
        <v>3</v>
      </c>
      <c r="D11" s="13">
        <v>3.2</v>
      </c>
      <c r="E11" s="13">
        <v>3.5</v>
      </c>
      <c r="F11" s="13">
        <v>3.8</v>
      </c>
      <c r="G11" s="13">
        <v>4.2</v>
      </c>
      <c r="H11" s="13">
        <v>4.5</v>
      </c>
      <c r="I11" s="13">
        <v>4.5</v>
      </c>
      <c r="J11" s="13">
        <v>4.8</v>
      </c>
      <c r="K11" s="13">
        <v>4.8</v>
      </c>
    </row>
    <row r="12" spans="1:11">
      <c r="A12" s="51" t="s">
        <v>614</v>
      </c>
      <c r="B12" s="32">
        <f>B10*B11</f>
        <v>36</v>
      </c>
      <c r="C12" s="32">
        <f>C10*C11</f>
        <v>42</v>
      </c>
      <c r="D12" s="32">
        <f>D10*D11</f>
        <v>51.2</v>
      </c>
      <c r="E12" s="32">
        <f>E10*E11</f>
        <v>70</v>
      </c>
      <c r="F12" s="32">
        <f>F10*F11</f>
        <v>95</v>
      </c>
      <c r="G12" s="32">
        <f>G10*G11</f>
        <v>134.4</v>
      </c>
      <c r="H12" s="32">
        <f>H10*H11</f>
        <v>171</v>
      </c>
      <c r="I12" s="32">
        <f>I10*I11</f>
        <v>189</v>
      </c>
      <c r="J12" s="32">
        <f>J10*J11</f>
        <v>216</v>
      </c>
      <c r="K12" s="32">
        <f>K10*K11</f>
        <v>230.39999999999998</v>
      </c>
    </row>
    <row r="13" spans="1:11">
      <c r="A13" s="50" t="s">
        <v>615</v>
      </c>
      <c r="B13" s="30">
        <f>B7-B12</f>
        <v>129</v>
      </c>
      <c r="C13" s="30">
        <f>C7-C12</f>
        <v>126</v>
      </c>
      <c r="D13" s="30">
        <f>D7-D12</f>
        <v>118.8</v>
      </c>
      <c r="E13" s="30">
        <f>E7-E12</f>
        <v>102</v>
      </c>
      <c r="F13" s="30">
        <f>F7-F12</f>
        <v>80</v>
      </c>
      <c r="G13" s="30">
        <f>G7-G12</f>
        <v>43.599999999999994</v>
      </c>
      <c r="H13" s="30">
        <f>H7-H12</f>
        <v>9</v>
      </c>
      <c r="I13" s="30">
        <f>I7-I12</f>
        <v>-6</v>
      </c>
      <c r="J13" s="30">
        <f>J7-J12</f>
        <v>-31</v>
      </c>
      <c r="K13" s="30">
        <f>K7-K12</f>
        <v>-42.399999999999977</v>
      </c>
    </row>
    <row r="14" spans="1:11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156"/>
    </row>
    <row r="15" spans="1:11">
      <c r="A15" s="95" t="s">
        <v>616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</row>
    <row r="16" spans="1:11">
      <c r="A16" s="51" t="s">
        <v>617</v>
      </c>
      <c r="B16" s="100">
        <v>1</v>
      </c>
      <c r="C16" s="100">
        <v>1.05</v>
      </c>
      <c r="D16" s="100">
        <v>1.1499999999999999</v>
      </c>
      <c r="E16" s="100">
        <v>1.35</v>
      </c>
      <c r="F16" s="100">
        <v>1.7</v>
      </c>
      <c r="G16" s="100">
        <v>2.4500000000000002</v>
      </c>
      <c r="H16" s="100">
        <v>3.1</v>
      </c>
      <c r="I16" s="100">
        <v>3.4</v>
      </c>
      <c r="J16" s="100">
        <v>3.5</v>
      </c>
      <c r="K16" s="100">
        <v>3.53</v>
      </c>
    </row>
    <row r="17" spans="1:11">
      <c r="A17" s="51" t="s">
        <v>618</v>
      </c>
      <c r="B17" s="156"/>
      <c r="C17" s="25">
        <f>(C16-B16)/B16</f>
        <v>5.0000000000000044E-2</v>
      </c>
      <c r="D17" s="25">
        <f>(D16-C16)/C16</f>
        <v>9.5238095238095108E-2</v>
      </c>
      <c r="E17" s="25">
        <f>(E16-D16)/D16</f>
        <v>0.17391304347826103</v>
      </c>
      <c r="F17" s="25">
        <f>(F16-E16)/E16</f>
        <v>0.25925925925925913</v>
      </c>
      <c r="G17" s="25">
        <f>(G16-F16)/F16</f>
        <v>0.44117647058823545</v>
      </c>
      <c r="H17" s="25">
        <f>(H16-G16)/G16</f>
        <v>0.26530612244897955</v>
      </c>
      <c r="I17" s="25">
        <f>(I16-H16)/H16</f>
        <v>9.6774193548387039E-2</v>
      </c>
      <c r="J17" s="25">
        <f>(J16-I16)/I16</f>
        <v>2.941176470588238E-2</v>
      </c>
      <c r="K17" s="25">
        <f>(K16-J16)/J16</f>
        <v>8.5714285714285163E-3</v>
      </c>
    </row>
    <row r="18" spans="1:11">
      <c r="A18" s="51" t="s">
        <v>619</v>
      </c>
      <c r="B18" s="100">
        <v>1</v>
      </c>
      <c r="C18" s="100">
        <v>0.96</v>
      </c>
      <c r="D18" s="100">
        <v>0.91</v>
      </c>
      <c r="E18" s="100">
        <v>0.86</v>
      </c>
      <c r="F18" s="100">
        <v>0.8</v>
      </c>
      <c r="G18" s="100">
        <v>0.74</v>
      </c>
      <c r="H18" s="100">
        <v>0.7</v>
      </c>
      <c r="I18" s="100">
        <v>0.66</v>
      </c>
      <c r="J18" s="100">
        <v>0.63</v>
      </c>
      <c r="K18" s="100">
        <v>0.6</v>
      </c>
    </row>
    <row r="19" spans="1:11">
      <c r="A19" s="97" t="s">
        <v>620</v>
      </c>
      <c r="B19" s="101">
        <f>B16/B18</f>
        <v>1</v>
      </c>
      <c r="C19" s="101">
        <f>C16/C18</f>
        <v>1.09375</v>
      </c>
      <c r="D19" s="101">
        <f>D16/D18</f>
        <v>1.2637362637362637</v>
      </c>
      <c r="E19" s="101">
        <f>E16/E18</f>
        <v>1.5697674418604652</v>
      </c>
      <c r="F19" s="101">
        <f>F16/F18</f>
        <v>2.125</v>
      </c>
      <c r="G19" s="101">
        <f>G16/G18</f>
        <v>3.310810810810811</v>
      </c>
      <c r="H19" s="101">
        <f>H16/H18</f>
        <v>4.4285714285714288</v>
      </c>
      <c r="I19" s="101">
        <f>I16/I18</f>
        <v>5.1515151515151514</v>
      </c>
      <c r="J19" s="101">
        <f>J16/J18</f>
        <v>5.5555555555555554</v>
      </c>
      <c r="K19" s="101">
        <f>K16/K18</f>
        <v>5.8833333333333329</v>
      </c>
    </row>
    <row r="20" spans="1:11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</row>
    <row r="21" spans="1:11">
      <c r="A21" s="95" t="s">
        <v>621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</row>
    <row r="22" spans="1:11">
      <c r="A22" s="51" t="s">
        <v>622</v>
      </c>
      <c r="B22" s="156"/>
      <c r="C22" s="102">
        <f>C9*B16</f>
        <v>3.8545454545454438E-2</v>
      </c>
      <c r="D22" s="102">
        <f>D9*C16</f>
        <v>5.416666666666671E-2</v>
      </c>
      <c r="E22" s="102">
        <f>E9*D16</f>
        <v>7.9389567147613749E-2</v>
      </c>
      <c r="F22" s="102">
        <f>F9*E16</f>
        <v>0.12165697674418598</v>
      </c>
      <c r="G22" s="102">
        <f>G9*F16</f>
        <v>0.1444190476190475</v>
      </c>
      <c r="H22" s="102">
        <f>H9*G16</f>
        <v>0.16301790730337079</v>
      </c>
      <c r="I22" s="102">
        <f>I9*H16</f>
        <v>0.16839506172839486</v>
      </c>
      <c r="J22" s="102">
        <f>J9*I16</f>
        <v>0.11081186572989883</v>
      </c>
      <c r="K22" s="102">
        <f>K9*J16</f>
        <v>0.10650160650160656</v>
      </c>
    </row>
    <row r="23" spans="1:11">
      <c r="A23" s="51" t="s">
        <v>623</v>
      </c>
      <c r="B23" s="156"/>
      <c r="C23" s="102">
        <f>C17*(1-C9)</f>
        <v>4.8072727272727322E-2</v>
      </c>
      <c r="D23" s="102">
        <f>D17*(1-D9)</f>
        <v>9.032501889644734E-2</v>
      </c>
      <c r="E23" s="102">
        <f>E17*(1-E9)</f>
        <v>0.16190705978864078</v>
      </c>
      <c r="F23" s="102">
        <f>F17*(1-F9)</f>
        <v>0.23589577950043056</v>
      </c>
      <c r="G23" s="102">
        <f>G17*(1-G9)</f>
        <v>0.4036974789915968</v>
      </c>
      <c r="H23" s="102">
        <f>H17*(1-H9)</f>
        <v>0.24765320454024303</v>
      </c>
      <c r="I23" s="102">
        <f>I17*(1-I9)</f>
        <v>9.1517323775388237E-2</v>
      </c>
      <c r="J23" s="102">
        <f>J17*(1-J9)</f>
        <v>2.8453184552509551E-2</v>
      </c>
      <c r="K23" s="102">
        <f>K17*(1-K9)</f>
        <v>8.3106083106082567E-3</v>
      </c>
    </row>
    <row r="24" spans="1:11">
      <c r="A24" s="50" t="s">
        <v>624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</row>
    <row r="25" spans="1:11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</row>
    <row r="26" spans="1:11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</row>
    <row r="27" spans="1:11">
      <c r="A27" s="95" t="s">
        <v>625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</row>
    <row r="28" spans="1:11">
      <c r="A28" s="38"/>
      <c r="B28" s="38" t="s">
        <v>603</v>
      </c>
      <c r="C28" s="38" t="s">
        <v>604</v>
      </c>
      <c r="D28" s="38" t="s">
        <v>605</v>
      </c>
      <c r="E28" s="38" t="s">
        <v>606</v>
      </c>
      <c r="F28" s="38" t="s">
        <v>607</v>
      </c>
      <c r="G28" s="38" t="s">
        <v>608</v>
      </c>
      <c r="H28" s="38" t="s">
        <v>180</v>
      </c>
      <c r="I28" s="38" t="s">
        <v>181</v>
      </c>
      <c r="J28" s="38" t="s">
        <v>182</v>
      </c>
      <c r="K28" s="38" t="s">
        <v>183</v>
      </c>
    </row>
    <row r="29" spans="1:11">
      <c r="A29" s="51" t="s">
        <v>626</v>
      </c>
      <c r="B29" s="18">
        <v>35</v>
      </c>
      <c r="C29" s="18">
        <v>35</v>
      </c>
      <c r="D29" s="18">
        <v>35</v>
      </c>
      <c r="E29" s="18">
        <v>35</v>
      </c>
      <c r="F29" s="18">
        <v>36</v>
      </c>
      <c r="G29" s="18">
        <v>36</v>
      </c>
      <c r="H29" s="18">
        <v>37</v>
      </c>
      <c r="I29" s="18">
        <v>38</v>
      </c>
      <c r="J29" s="18">
        <v>38</v>
      </c>
      <c r="K29" s="18">
        <v>39</v>
      </c>
    </row>
    <row r="30" spans="1:11">
      <c r="A30" s="51" t="s">
        <v>627</v>
      </c>
      <c r="B30" s="18">
        <v>232</v>
      </c>
      <c r="C30" s="18">
        <v>232</v>
      </c>
      <c r="D30" s="18">
        <v>232</v>
      </c>
      <c r="E30" s="18">
        <v>232</v>
      </c>
      <c r="F30" s="18">
        <v>232</v>
      </c>
      <c r="G30" s="18">
        <v>276</v>
      </c>
      <c r="H30" s="18">
        <v>300</v>
      </c>
      <c r="I30" s="18">
        <v>300</v>
      </c>
      <c r="J30" s="18">
        <v>300</v>
      </c>
      <c r="K30" s="18">
        <v>300</v>
      </c>
    </row>
    <row r="31" spans="1:11">
      <c r="A31" s="51" t="s">
        <v>628</v>
      </c>
      <c r="B31" s="18">
        <v>100</v>
      </c>
      <c r="C31" s="18">
        <v>100</v>
      </c>
      <c r="D31" s="18">
        <v>100</v>
      </c>
      <c r="E31" s="18">
        <v>102</v>
      </c>
      <c r="F31" s="18">
        <v>105</v>
      </c>
      <c r="G31" s="18">
        <v>115</v>
      </c>
      <c r="H31" s="18">
        <v>125</v>
      </c>
      <c r="I31" s="18">
        <v>128</v>
      </c>
      <c r="J31" s="18">
        <v>130</v>
      </c>
      <c r="K31" s="18">
        <v>132</v>
      </c>
    </row>
    <row r="32" spans="1:11">
      <c r="A32" s="51" t="s">
        <v>629</v>
      </c>
      <c r="B32" s="100">
        <v>1</v>
      </c>
      <c r="C32" s="100">
        <v>1.03</v>
      </c>
      <c r="D32" s="100">
        <v>1.1000000000000001</v>
      </c>
      <c r="E32" s="100">
        <v>1.2</v>
      </c>
      <c r="F32" s="100">
        <v>1.45</v>
      </c>
      <c r="G32" s="100">
        <v>2.2999999999999998</v>
      </c>
      <c r="H32" s="100">
        <v>3</v>
      </c>
      <c r="I32" s="100">
        <v>3.25</v>
      </c>
      <c r="J32" s="100">
        <v>3.28</v>
      </c>
      <c r="K32" s="100">
        <v>3.3</v>
      </c>
    </row>
    <row r="33" spans="1:11">
      <c r="A33" s="51" t="s">
        <v>630</v>
      </c>
      <c r="B33" s="156"/>
      <c r="C33" s="25">
        <f>(C32-B32)/B32</f>
        <v>3.0000000000000027E-2</v>
      </c>
      <c r="D33" s="25">
        <f>(D32-C32)/C32</f>
        <v>6.7961165048543742E-2</v>
      </c>
      <c r="E33" s="25">
        <f>(E32-D32)/D32</f>
        <v>9.0909090909090787E-2</v>
      </c>
      <c r="F33" s="25">
        <f>(F32-E32)/E32</f>
        <v>0.20833333333333334</v>
      </c>
      <c r="G33" s="25">
        <f>(G32-F32)/F32</f>
        <v>0.58620689655172409</v>
      </c>
      <c r="H33" s="25">
        <f>(H32-G32)/G32</f>
        <v>0.3043478260869566</v>
      </c>
      <c r="I33" s="25">
        <f>(I32-H32)/H32</f>
        <v>8.3333333333333329E-2</v>
      </c>
      <c r="J33" s="25">
        <f>(J32-I32)/I32</f>
        <v>9.2307692307691709E-3</v>
      </c>
      <c r="K33" s="25">
        <f>(K32-J32)/J32</f>
        <v>6.0975609756097615E-3</v>
      </c>
    </row>
    <row r="34" spans="1:1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</row>
    <row r="35" spans="1:11">
      <c r="A35" s="95" t="s">
        <v>631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</row>
    <row r="36" spans="1:11">
      <c r="A36" s="38"/>
      <c r="B36" s="38" t="s">
        <v>632</v>
      </c>
      <c r="C36" s="38" t="s">
        <v>633</v>
      </c>
      <c r="D36" s="38" t="s">
        <v>476</v>
      </c>
      <c r="E36" s="38" t="s">
        <v>477</v>
      </c>
      <c r="F36" s="156"/>
      <c r="G36" s="156"/>
      <c r="H36" s="156"/>
      <c r="I36" s="156"/>
      <c r="J36" s="156"/>
      <c r="K36" s="156"/>
    </row>
    <row r="37" spans="1:11">
      <c r="A37" s="51" t="s">
        <v>478</v>
      </c>
      <c r="B37" s="9">
        <v>0.08</v>
      </c>
      <c r="C37" s="9">
        <v>0.12</v>
      </c>
      <c r="D37" s="9">
        <v>0.14000000000000001</v>
      </c>
      <c r="E37" s="9">
        <v>0.18</v>
      </c>
      <c r="F37" s="156"/>
      <c r="G37" s="156"/>
      <c r="H37" s="156"/>
      <c r="I37" s="156"/>
      <c r="J37" s="156"/>
      <c r="K37" s="156"/>
    </row>
    <row r="38" spans="1:11">
      <c r="A38" s="51" t="s">
        <v>634</v>
      </c>
      <c r="B38" s="9">
        <v>0.06</v>
      </c>
      <c r="C38" s="9">
        <v>0.1</v>
      </c>
      <c r="D38" s="9">
        <v>0.12</v>
      </c>
      <c r="E38" s="9">
        <v>0.15</v>
      </c>
      <c r="F38" s="156"/>
      <c r="G38" s="156"/>
      <c r="H38" s="156"/>
      <c r="I38" s="156"/>
      <c r="J38" s="156"/>
      <c r="K38" s="156"/>
    </row>
    <row r="39" spans="1:11">
      <c r="A39" s="51" t="s">
        <v>635</v>
      </c>
      <c r="B39" s="9">
        <v>0.05</v>
      </c>
      <c r="C39" s="9">
        <v>0.08</v>
      </c>
      <c r="D39" s="9">
        <v>0.12</v>
      </c>
      <c r="E39" s="9">
        <v>0.1</v>
      </c>
      <c r="F39" s="156"/>
      <c r="G39" s="156"/>
      <c r="H39" s="156"/>
      <c r="I39" s="156"/>
      <c r="J39" s="156"/>
      <c r="K39" s="156"/>
    </row>
    <row r="40" spans="1:11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</row>
    <row r="41" spans="1:11">
      <c r="A41" s="97" t="s">
        <v>636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</row>
    <row r="42" spans="1:11" ht="45" customHeight="1">
      <c r="A42" s="191" t="s">
        <v>637</v>
      </c>
      <c r="B42" s="207"/>
      <c r="C42" s="207"/>
      <c r="D42" s="207"/>
      <c r="E42" s="207"/>
      <c r="F42" s="207"/>
      <c r="G42" s="207"/>
      <c r="H42" s="207"/>
      <c r="I42" s="207"/>
      <c r="J42" s="207"/>
      <c r="K42" s="207"/>
    </row>
    <row r="43" spans="1:11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</row>
    <row r="44" spans="1:11">
      <c r="A44" s="95" t="s">
        <v>638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</row>
    <row r="45" spans="1:11">
      <c r="A45" s="38" t="s">
        <v>639</v>
      </c>
      <c r="B45" s="38" t="s">
        <v>640</v>
      </c>
      <c r="C45" s="38" t="s">
        <v>641</v>
      </c>
      <c r="D45" s="38" t="s">
        <v>642</v>
      </c>
      <c r="E45" s="38" t="s">
        <v>643</v>
      </c>
      <c r="F45" s="38" t="s">
        <v>644</v>
      </c>
      <c r="G45" s="38" t="s">
        <v>645</v>
      </c>
      <c r="H45" s="38" t="s">
        <v>646</v>
      </c>
      <c r="I45" s="38" t="s">
        <v>647</v>
      </c>
      <c r="J45" s="38"/>
      <c r="K45" s="156"/>
    </row>
    <row r="46" spans="1:11">
      <c r="A46" s="51" t="s">
        <v>648</v>
      </c>
      <c r="B46" s="9">
        <v>0.7</v>
      </c>
      <c r="C46" s="9">
        <v>0.78</v>
      </c>
      <c r="D46" s="9">
        <v>0.85</v>
      </c>
      <c r="E46" s="9">
        <v>0.9</v>
      </c>
      <c r="F46" s="9">
        <v>0.93</v>
      </c>
      <c r="G46" s="9">
        <v>0.95</v>
      </c>
      <c r="H46" s="9">
        <v>0.96</v>
      </c>
      <c r="I46" s="9">
        <v>0.96</v>
      </c>
      <c r="J46" s="156"/>
      <c r="K46" s="156"/>
    </row>
    <row r="47" spans="1:11">
      <c r="A47" s="99" t="s">
        <v>649</v>
      </c>
      <c r="B47" s="10">
        <v>0.62</v>
      </c>
      <c r="C47" s="10">
        <v>0.72</v>
      </c>
      <c r="D47" s="10">
        <v>0.8</v>
      </c>
      <c r="E47" s="10">
        <v>0.86</v>
      </c>
      <c r="F47" s="10">
        <v>0.91</v>
      </c>
      <c r="G47" s="10">
        <v>0.93</v>
      </c>
      <c r="H47" s="10">
        <v>0.95</v>
      </c>
      <c r="I47" s="10">
        <v>0.95</v>
      </c>
      <c r="J47" s="156"/>
      <c r="K47" s="156"/>
    </row>
    <row r="48" spans="1:11">
      <c r="A48" s="51" t="s">
        <v>650</v>
      </c>
      <c r="B48" s="9">
        <v>0.55000000000000004</v>
      </c>
      <c r="C48" s="9">
        <v>0.63</v>
      </c>
      <c r="D48" s="9">
        <v>0.72</v>
      </c>
      <c r="E48" s="9">
        <v>0.78</v>
      </c>
      <c r="F48" s="9">
        <v>0.83</v>
      </c>
      <c r="G48" s="9">
        <v>0.88</v>
      </c>
      <c r="H48" s="9">
        <v>0.91</v>
      </c>
      <c r="I48" s="9">
        <v>0.93</v>
      </c>
      <c r="J48" s="156"/>
      <c r="K48" s="156"/>
    </row>
    <row r="49" spans="1:11">
      <c r="A49" s="51" t="s">
        <v>651</v>
      </c>
      <c r="B49" s="156"/>
      <c r="C49" s="156"/>
      <c r="D49" s="156"/>
      <c r="E49" s="156"/>
      <c r="F49" s="156"/>
      <c r="G49" s="156"/>
      <c r="H49" s="156"/>
      <c r="I49" s="156"/>
      <c r="J49" s="156"/>
      <c r="K49" s="156"/>
    </row>
    <row r="50" spans="1:11" ht="39.950000000000003" customHeight="1">
      <c r="A50" s="191" t="s">
        <v>652</v>
      </c>
      <c r="B50" s="207"/>
      <c r="C50" s="207"/>
      <c r="D50" s="207"/>
      <c r="E50" s="207"/>
      <c r="F50" s="207"/>
      <c r="G50" s="207"/>
      <c r="H50" s="207"/>
      <c r="I50" s="207"/>
      <c r="J50" s="207"/>
      <c r="K50" s="207"/>
    </row>
    <row r="51" spans="1:1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</row>
    <row r="52" spans="1:11">
      <c r="A52" s="95" t="s">
        <v>653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</row>
    <row r="53" spans="1:11">
      <c r="A53" s="38"/>
      <c r="B53" s="38" t="s">
        <v>654</v>
      </c>
      <c r="C53" s="38" t="s">
        <v>655</v>
      </c>
      <c r="D53" s="38" t="s">
        <v>656</v>
      </c>
      <c r="E53" s="38" t="s">
        <v>657</v>
      </c>
      <c r="F53" s="38" t="s">
        <v>658</v>
      </c>
      <c r="G53" s="38"/>
      <c r="H53" s="38"/>
      <c r="I53" s="38"/>
      <c r="J53" s="38"/>
      <c r="K53" s="156"/>
    </row>
    <row r="54" spans="1:11">
      <c r="A54" s="51" t="s">
        <v>659</v>
      </c>
      <c r="B54" s="18">
        <v>8</v>
      </c>
      <c r="C54" s="18">
        <v>12</v>
      </c>
      <c r="D54" s="18">
        <v>12</v>
      </c>
      <c r="E54" s="18">
        <v>16</v>
      </c>
      <c r="F54" s="18">
        <v>12</v>
      </c>
      <c r="G54" s="156"/>
      <c r="H54" s="156"/>
      <c r="I54" s="156"/>
      <c r="J54" s="156"/>
      <c r="K54" s="156"/>
    </row>
    <row r="55" spans="1:11">
      <c r="A55" s="51" t="s">
        <v>660</v>
      </c>
      <c r="B55" s="18">
        <v>24</v>
      </c>
      <c r="C55" s="18">
        <v>36</v>
      </c>
      <c r="D55" s="18">
        <v>36</v>
      </c>
      <c r="E55" s="18">
        <v>48</v>
      </c>
      <c r="F55" s="18">
        <v>48</v>
      </c>
      <c r="G55" s="156"/>
      <c r="H55" s="156"/>
      <c r="I55" s="156"/>
      <c r="J55" s="156"/>
      <c r="K55" s="156"/>
    </row>
    <row r="56" spans="1:11">
      <c r="A56" s="51" t="s">
        <v>661</v>
      </c>
      <c r="B56" s="18">
        <v>1</v>
      </c>
      <c r="C56" s="18">
        <v>1</v>
      </c>
      <c r="D56" s="18">
        <v>1</v>
      </c>
      <c r="E56" s="18">
        <v>1</v>
      </c>
      <c r="F56" s="18">
        <v>1</v>
      </c>
      <c r="G56" s="156"/>
      <c r="H56" s="156"/>
      <c r="I56" s="156"/>
      <c r="J56" s="156"/>
      <c r="K56" s="156"/>
    </row>
    <row r="57" spans="1:11">
      <c r="A57" s="50" t="s">
        <v>662</v>
      </c>
      <c r="B57" s="18">
        <v>9</v>
      </c>
      <c r="C57" s="18">
        <v>13</v>
      </c>
      <c r="D57" s="18">
        <v>13</v>
      </c>
      <c r="E57" s="18">
        <v>17</v>
      </c>
      <c r="F57" s="18">
        <v>13</v>
      </c>
      <c r="G57" s="156"/>
      <c r="H57" s="156"/>
      <c r="I57" s="156"/>
      <c r="J57" s="156"/>
      <c r="K57" s="156"/>
    </row>
    <row r="58" spans="1:11">
      <c r="A58" s="51" t="s">
        <v>663</v>
      </c>
      <c r="B58" s="9">
        <v>0.95</v>
      </c>
      <c r="C58" s="9">
        <v>0.95</v>
      </c>
      <c r="D58" s="9">
        <v>0.92</v>
      </c>
      <c r="E58" s="9">
        <v>0.9</v>
      </c>
      <c r="F58" s="9">
        <v>0.93</v>
      </c>
      <c r="G58" s="156"/>
      <c r="H58" s="156"/>
      <c r="I58" s="156"/>
      <c r="J58" s="156"/>
      <c r="K58" s="156"/>
    </row>
    <row r="59" spans="1:11">
      <c r="A59" s="51" t="s">
        <v>664</v>
      </c>
      <c r="B59" s="25">
        <f>B58^B57</f>
        <v>0.6302494097246093</v>
      </c>
      <c r="C59" s="25">
        <f>C58^C57</f>
        <v>0.51334208327950503</v>
      </c>
      <c r="D59" s="25">
        <f>D58^D57</f>
        <v>0.33825307664249182</v>
      </c>
      <c r="E59" s="25">
        <f>E58^E57</f>
        <v>0.16677181699666582</v>
      </c>
      <c r="F59" s="25">
        <f>F58^F57</f>
        <v>0.38929455665581508</v>
      </c>
      <c r="G59" s="156"/>
      <c r="H59" s="156"/>
      <c r="I59" s="156"/>
      <c r="J59" s="156"/>
      <c r="K59" s="156"/>
    </row>
    <row r="60" spans="1:11">
      <c r="A60" s="51" t="s">
        <v>665</v>
      </c>
      <c r="B60" s="117">
        <f>B57/B59</f>
        <v>14.280060974484048</v>
      </c>
      <c r="C60" s="117">
        <f>C57/C59</f>
        <v>25.324243664086559</v>
      </c>
      <c r="D60" s="117">
        <f>D57/D59</f>
        <v>38.432762028473803</v>
      </c>
      <c r="E60" s="117">
        <f>E57/E59</f>
        <v>101.93568857224763</v>
      </c>
      <c r="F60" s="117">
        <f>F57/F59</f>
        <v>33.393736895976225</v>
      </c>
      <c r="G60" s="156"/>
      <c r="H60" s="156"/>
      <c r="I60" s="156"/>
      <c r="J60" s="156"/>
      <c r="K60" s="156"/>
    </row>
    <row r="61" spans="1:11">
      <c r="A61" s="51" t="s">
        <v>666</v>
      </c>
      <c r="B61" s="18">
        <v>65</v>
      </c>
      <c r="C61" s="18">
        <v>65</v>
      </c>
      <c r="D61" s="18">
        <v>70</v>
      </c>
      <c r="E61" s="18">
        <v>70</v>
      </c>
      <c r="F61" s="18">
        <v>72</v>
      </c>
      <c r="G61" s="156"/>
      <c r="H61" s="156"/>
      <c r="I61" s="156"/>
      <c r="J61" s="156"/>
      <c r="K61" s="156"/>
    </row>
    <row r="62" spans="1:11">
      <c r="A62" s="51" t="s">
        <v>667</v>
      </c>
      <c r="B62" s="102">
        <f>B60*B61/50000</f>
        <v>1.8564079266829261E-2</v>
      </c>
      <c r="C62" s="102">
        <f>C60*C61/50000</f>
        <v>3.2921516763312522E-2</v>
      </c>
      <c r="D62" s="102">
        <f>D60*D61/50000</f>
        <v>5.3805866839863319E-2</v>
      </c>
      <c r="E62" s="102">
        <f>E60*E61/50000</f>
        <v>0.14270996400114666</v>
      </c>
      <c r="F62" s="102">
        <f>F60*F61/50000</f>
        <v>4.8086981130205771E-2</v>
      </c>
      <c r="G62" s="156"/>
      <c r="H62" s="156"/>
      <c r="I62" s="156"/>
      <c r="J62" s="156"/>
      <c r="K62" s="156"/>
    </row>
    <row r="63" spans="1:11">
      <c r="A63" s="51" t="s">
        <v>668</v>
      </c>
      <c r="B63" s="67">
        <v>3500</v>
      </c>
      <c r="C63" s="67">
        <v>3500</v>
      </c>
      <c r="D63" s="67">
        <v>4200</v>
      </c>
      <c r="E63" s="67">
        <v>4200</v>
      </c>
      <c r="F63" s="67">
        <v>4500</v>
      </c>
      <c r="G63" s="156"/>
      <c r="H63" s="156"/>
      <c r="I63" s="156"/>
      <c r="J63" s="156"/>
      <c r="K63" s="156"/>
    </row>
    <row r="64" spans="1:11">
      <c r="A64" s="51" t="s">
        <v>669</v>
      </c>
      <c r="B64" s="67">
        <v>2500</v>
      </c>
      <c r="C64" s="67">
        <v>2500</v>
      </c>
      <c r="D64" s="67">
        <v>3000</v>
      </c>
      <c r="E64" s="67">
        <v>3000</v>
      </c>
      <c r="F64" s="67">
        <v>3200</v>
      </c>
      <c r="G64" s="156"/>
      <c r="H64" s="156"/>
      <c r="I64" s="156"/>
      <c r="J64" s="156"/>
      <c r="K64" s="156"/>
    </row>
    <row r="65" spans="1:11">
      <c r="A65" s="51" t="s">
        <v>670</v>
      </c>
      <c r="B65" s="67">
        <v>200</v>
      </c>
      <c r="C65" s="67">
        <v>350</v>
      </c>
      <c r="D65" s="67">
        <v>400</v>
      </c>
      <c r="E65" s="67">
        <v>600</v>
      </c>
      <c r="F65" s="67">
        <v>450</v>
      </c>
      <c r="G65" s="156"/>
      <c r="H65" s="156"/>
      <c r="I65" s="156"/>
      <c r="J65" s="156"/>
      <c r="K65" s="156"/>
    </row>
    <row r="66" spans="1:11">
      <c r="A66" s="51" t="s">
        <v>671</v>
      </c>
      <c r="B66" s="67">
        <v>150</v>
      </c>
      <c r="C66" s="67">
        <v>200</v>
      </c>
      <c r="D66" s="67">
        <v>250</v>
      </c>
      <c r="E66" s="67">
        <v>350</v>
      </c>
      <c r="F66" s="67">
        <v>280</v>
      </c>
      <c r="G66" s="156"/>
      <c r="H66" s="156"/>
      <c r="I66" s="156"/>
      <c r="J66" s="156"/>
      <c r="K66" s="156"/>
    </row>
    <row r="67" spans="1:11">
      <c r="A67" s="50" t="s">
        <v>672</v>
      </c>
      <c r="B67" s="65">
        <f>B62*B63 + B64*0.15 + B65 + B66</f>
        <v>789.97427743390244</v>
      </c>
      <c r="C67" s="65">
        <f>C62*C63 + C64*0.15 + C65 + C66</f>
        <v>1040.2253086715939</v>
      </c>
      <c r="D67" s="65">
        <f>D62*D63 + D64*0.15 + D65 + D66</f>
        <v>1325.9846407274258</v>
      </c>
      <c r="E67" s="65">
        <f>E62*E63 + E64*0.15 + E65 + E66</f>
        <v>1999.3818488048159</v>
      </c>
      <c r="F67" s="65">
        <f>F62*F63 + F64*0.15 + F65 + F66</f>
        <v>1426.3914150859259</v>
      </c>
      <c r="G67" s="156"/>
      <c r="H67" s="156"/>
      <c r="I67" s="156"/>
      <c r="J67" s="156"/>
      <c r="K67" s="156"/>
    </row>
    <row r="68" spans="1:11">
      <c r="A68" s="51" t="s">
        <v>673</v>
      </c>
      <c r="B68" s="67">
        <v>720</v>
      </c>
      <c r="C68" s="67">
        <v>1260</v>
      </c>
      <c r="D68" s="20">
        <v>1800</v>
      </c>
      <c r="E68" s="67">
        <v>2800</v>
      </c>
      <c r="F68" s="67">
        <v>2400</v>
      </c>
      <c r="G68" s="156"/>
      <c r="H68" s="156"/>
      <c r="I68" s="156"/>
      <c r="J68" s="156"/>
      <c r="K68" s="156"/>
    </row>
    <row r="69" spans="1:11">
      <c r="A69" s="50" t="s">
        <v>674</v>
      </c>
      <c r="B69" s="25">
        <f>(B68-B67)/B68</f>
        <v>-9.7186496435975614E-2</v>
      </c>
      <c r="C69" s="25">
        <f>(C68-C67)/C68</f>
        <v>0.17442435819714772</v>
      </c>
      <c r="D69" s="25">
        <f>(D68-D67)/D68</f>
        <v>0.26334186626254119</v>
      </c>
      <c r="E69" s="25">
        <f>(E68-E67)/E68</f>
        <v>0.28593505399828001</v>
      </c>
      <c r="F69" s="25">
        <f>(F68-F67)/F68</f>
        <v>0.40567024371419752</v>
      </c>
      <c r="G69" s="156"/>
      <c r="H69" s="156"/>
      <c r="I69" s="156"/>
      <c r="J69" s="156"/>
      <c r="K69" s="156"/>
    </row>
    <row r="70" spans="1:11">
      <c r="A70" s="50" t="s">
        <v>675</v>
      </c>
      <c r="B70" s="37">
        <f>B68/B56</f>
        <v>720</v>
      </c>
      <c r="C70" s="37">
        <f>C68/C56</f>
        <v>1260</v>
      </c>
      <c r="D70" s="37">
        <f>D68/D56</f>
        <v>1800</v>
      </c>
      <c r="E70" s="37">
        <f>E68/E56</f>
        <v>2800</v>
      </c>
      <c r="F70" s="37">
        <f>F68/F56</f>
        <v>2400</v>
      </c>
      <c r="G70" s="156"/>
      <c r="H70" s="156"/>
      <c r="I70" s="156"/>
      <c r="J70" s="156"/>
      <c r="K70" s="156"/>
    </row>
    <row r="71" spans="1:11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</row>
    <row r="72" spans="1:11">
      <c r="A72" s="95" t="s">
        <v>676</v>
      </c>
      <c r="B72" s="156"/>
      <c r="C72" s="156"/>
      <c r="D72" s="156"/>
      <c r="E72" s="156"/>
      <c r="F72" s="156"/>
      <c r="G72" s="156"/>
      <c r="H72" s="156"/>
      <c r="I72" s="156"/>
      <c r="J72" s="156"/>
      <c r="K72" s="156"/>
    </row>
    <row r="73" spans="1:11">
      <c r="A73" s="38" t="s">
        <v>677</v>
      </c>
      <c r="B73" s="38" t="s">
        <v>678</v>
      </c>
      <c r="C73" s="38" t="s">
        <v>679</v>
      </c>
      <c r="D73" s="38" t="s">
        <v>680</v>
      </c>
      <c r="E73" s="38" t="s">
        <v>681</v>
      </c>
      <c r="F73" s="38" t="s">
        <v>682</v>
      </c>
      <c r="G73" s="38"/>
      <c r="H73" s="38"/>
      <c r="I73" s="38"/>
      <c r="J73" s="38"/>
      <c r="K73" s="156"/>
    </row>
    <row r="74" spans="1:11">
      <c r="A74" s="51" t="s">
        <v>683</v>
      </c>
      <c r="B74" s="67">
        <v>3500</v>
      </c>
      <c r="C74" s="67">
        <v>8500</v>
      </c>
      <c r="D74" s="67">
        <v>12000</v>
      </c>
      <c r="E74" s="65">
        <f>C74-B74</f>
        <v>5000</v>
      </c>
      <c r="F74" s="50" t="s">
        <v>684</v>
      </c>
      <c r="G74" s="156"/>
      <c r="H74" s="156"/>
      <c r="I74" s="156"/>
      <c r="J74" s="156"/>
      <c r="K74" s="156"/>
    </row>
    <row r="75" spans="1:11">
      <c r="A75" s="51" t="s">
        <v>447</v>
      </c>
      <c r="B75" s="67">
        <v>3500</v>
      </c>
      <c r="C75" s="67">
        <v>35000</v>
      </c>
      <c r="D75" s="67">
        <v>42000</v>
      </c>
      <c r="E75" s="65">
        <f>C75-B75</f>
        <v>31500</v>
      </c>
      <c r="F75" s="118" t="s">
        <v>685</v>
      </c>
      <c r="G75" s="156"/>
      <c r="H75" s="156"/>
      <c r="I75" s="156"/>
      <c r="J75" s="156"/>
      <c r="K75" s="156"/>
    </row>
    <row r="76" spans="1:11">
      <c r="A76" s="51" t="s">
        <v>453</v>
      </c>
      <c r="B76" s="67">
        <v>4200</v>
      </c>
      <c r="C76" s="67">
        <v>45000</v>
      </c>
      <c r="D76" s="67">
        <v>55000</v>
      </c>
      <c r="E76" s="65">
        <f>C76-B76</f>
        <v>40800</v>
      </c>
      <c r="F76" s="118" t="s">
        <v>686</v>
      </c>
      <c r="G76" s="156"/>
      <c r="H76" s="156"/>
      <c r="I76" s="156"/>
      <c r="J76" s="156"/>
      <c r="K76" s="156"/>
    </row>
    <row r="77" spans="1:11">
      <c r="A77" s="51" t="s">
        <v>687</v>
      </c>
      <c r="B77" s="67">
        <v>2800</v>
      </c>
      <c r="C77" s="67">
        <v>5500</v>
      </c>
      <c r="D77" s="67">
        <v>7000</v>
      </c>
      <c r="E77" s="65">
        <f>C77-B77</f>
        <v>2700</v>
      </c>
      <c r="F77" s="50" t="s">
        <v>688</v>
      </c>
      <c r="G77" s="156"/>
      <c r="H77" s="156"/>
      <c r="I77" s="156"/>
      <c r="J77" s="156"/>
      <c r="K77" s="156"/>
    </row>
    <row r="78" spans="1:11">
      <c r="A78" s="51" t="s">
        <v>689</v>
      </c>
      <c r="B78" s="67">
        <v>3200</v>
      </c>
      <c r="C78" s="67">
        <v>7500</v>
      </c>
      <c r="D78" s="67">
        <v>9500</v>
      </c>
      <c r="E78" s="65">
        <f>C78-B78</f>
        <v>4300</v>
      </c>
      <c r="F78" s="50" t="s">
        <v>684</v>
      </c>
      <c r="G78" s="156"/>
      <c r="H78" s="156"/>
      <c r="I78" s="156"/>
      <c r="J78" s="156"/>
      <c r="K78" s="156"/>
    </row>
    <row r="79" spans="1:11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</row>
    <row r="80" spans="1:11" ht="45" customHeight="1">
      <c r="A80" s="191" t="s">
        <v>690</v>
      </c>
      <c r="B80" s="207"/>
      <c r="C80" s="207"/>
      <c r="D80" s="207"/>
      <c r="E80" s="207"/>
      <c r="F80" s="207"/>
      <c r="G80" s="207"/>
      <c r="H80" s="207"/>
      <c r="I80" s="207"/>
      <c r="J80" s="207"/>
      <c r="K80" s="207"/>
    </row>
  </sheetData>
  <mergeCells count="4">
    <mergeCell ref="A80:K80"/>
    <mergeCell ref="A1:K1"/>
    <mergeCell ref="A50:K50"/>
    <mergeCell ref="A42:K42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8F00"/>
  </sheetPr>
  <dimension ref="A1:G100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5" customWidth="1"/>
    <col min="2" max="7" width="16" customWidth="1"/>
  </cols>
  <sheetData>
    <row r="1" spans="1:7">
      <c r="A1" s="208" t="s">
        <v>691</v>
      </c>
      <c r="B1" s="207"/>
      <c r="C1" s="207"/>
      <c r="D1" s="207"/>
      <c r="E1" s="207"/>
      <c r="F1" s="207"/>
      <c r="G1" s="207"/>
    </row>
    <row r="2" spans="1:7">
      <c r="A2" s="1" t="s">
        <v>692</v>
      </c>
      <c r="B2" s="156"/>
      <c r="C2" s="156"/>
      <c r="D2" s="156"/>
      <c r="E2" s="156"/>
      <c r="F2" s="156"/>
      <c r="G2" s="156"/>
    </row>
    <row r="3" spans="1:7">
      <c r="A3" s="156"/>
      <c r="B3" s="156"/>
      <c r="C3" s="156"/>
      <c r="D3" s="156"/>
      <c r="E3" s="156"/>
      <c r="F3" s="156"/>
      <c r="G3" s="156"/>
    </row>
    <row r="4" spans="1:7">
      <c r="A4" s="95" t="s">
        <v>693</v>
      </c>
      <c r="B4" s="156"/>
      <c r="C4" s="156"/>
      <c r="D4" s="156"/>
      <c r="E4" s="156"/>
      <c r="F4" s="156"/>
      <c r="G4" s="156"/>
    </row>
    <row r="5" spans="1:7">
      <c r="A5" s="38"/>
      <c r="B5" s="38" t="s">
        <v>474</v>
      </c>
      <c r="C5" s="38" t="s">
        <v>694</v>
      </c>
      <c r="D5" s="38" t="s">
        <v>476</v>
      </c>
      <c r="E5" s="38" t="s">
        <v>477</v>
      </c>
      <c r="F5" s="38" t="s">
        <v>695</v>
      </c>
      <c r="G5" s="156"/>
    </row>
    <row r="6" spans="1:7">
      <c r="A6" s="15" t="s">
        <v>696</v>
      </c>
      <c r="B6" s="18">
        <v>16</v>
      </c>
      <c r="C6" s="18">
        <v>35</v>
      </c>
      <c r="D6" s="18">
        <v>55</v>
      </c>
      <c r="E6" s="18">
        <v>77</v>
      </c>
      <c r="F6" s="18">
        <v>100</v>
      </c>
      <c r="G6" s="156"/>
    </row>
    <row r="7" spans="1:7">
      <c r="A7" s="11" t="s">
        <v>697</v>
      </c>
      <c r="B7" s="9">
        <v>0.15</v>
      </c>
      <c r="C7" s="9">
        <v>0.21</v>
      </c>
      <c r="D7" s="9">
        <v>0.25</v>
      </c>
      <c r="E7" s="9">
        <v>0.26</v>
      </c>
      <c r="F7" s="9">
        <v>0.27</v>
      </c>
      <c r="G7" s="156"/>
    </row>
    <row r="8" spans="1:7">
      <c r="A8" s="14" t="s">
        <v>698</v>
      </c>
      <c r="B8" s="46">
        <f>B6*B7</f>
        <v>2.4</v>
      </c>
      <c r="C8" s="46">
        <f>C6*C7</f>
        <v>7.35</v>
      </c>
      <c r="D8" s="46">
        <f>D6*D7</f>
        <v>13.75</v>
      </c>
      <c r="E8" s="46">
        <f>E6*E7</f>
        <v>20.02</v>
      </c>
      <c r="F8" s="46">
        <f>F6*F7</f>
        <v>27</v>
      </c>
      <c r="G8" s="156"/>
    </row>
    <row r="9" spans="1:7">
      <c r="A9" s="156"/>
      <c r="B9" s="156"/>
      <c r="C9" s="156"/>
      <c r="D9" s="156"/>
      <c r="E9" s="156"/>
      <c r="F9" s="156"/>
      <c r="G9" s="156"/>
    </row>
    <row r="10" spans="1:7">
      <c r="A10" s="95" t="s">
        <v>699</v>
      </c>
      <c r="B10" s="156"/>
      <c r="C10" s="156"/>
      <c r="D10" s="156"/>
      <c r="E10" s="156"/>
      <c r="F10" s="156"/>
      <c r="G10" s="156"/>
    </row>
    <row r="11" spans="1:7">
      <c r="A11" s="38" t="s">
        <v>700</v>
      </c>
      <c r="B11" s="38" t="s">
        <v>701</v>
      </c>
      <c r="C11" s="38" t="s">
        <v>702</v>
      </c>
      <c r="D11" s="38" t="s">
        <v>703</v>
      </c>
      <c r="E11" s="38" t="s">
        <v>704</v>
      </c>
      <c r="F11" s="38" t="s">
        <v>705</v>
      </c>
      <c r="G11" s="156"/>
    </row>
    <row r="12" spans="1:7">
      <c r="A12" s="47" t="s">
        <v>706</v>
      </c>
      <c r="B12" s="47" t="s">
        <v>707</v>
      </c>
      <c r="C12" s="47" t="s">
        <v>708</v>
      </c>
      <c r="D12" s="39" t="s">
        <v>709</v>
      </c>
      <c r="E12" s="39" t="s">
        <v>710</v>
      </c>
      <c r="F12" s="48" t="s">
        <v>711</v>
      </c>
      <c r="G12" s="156"/>
    </row>
    <row r="13" spans="1:7">
      <c r="A13" s="47" t="s">
        <v>712</v>
      </c>
      <c r="B13" s="47" t="s">
        <v>713</v>
      </c>
      <c r="C13" s="47" t="s">
        <v>708</v>
      </c>
      <c r="D13" s="39" t="s">
        <v>714</v>
      </c>
      <c r="E13" s="39" t="s">
        <v>715</v>
      </c>
      <c r="F13" s="39" t="s">
        <v>716</v>
      </c>
      <c r="G13" s="156"/>
    </row>
    <row r="14" spans="1:7">
      <c r="A14" s="47" t="s">
        <v>717</v>
      </c>
      <c r="B14" s="47" t="s">
        <v>718</v>
      </c>
      <c r="C14" s="47" t="s">
        <v>719</v>
      </c>
      <c r="D14" s="39" t="s">
        <v>720</v>
      </c>
      <c r="E14" s="39" t="s">
        <v>715</v>
      </c>
      <c r="F14" s="49" t="s">
        <v>721</v>
      </c>
      <c r="G14" s="156"/>
    </row>
    <row r="15" spans="1:7">
      <c r="A15" s="47" t="s">
        <v>722</v>
      </c>
      <c r="B15" s="47" t="s">
        <v>723</v>
      </c>
      <c r="C15" s="47" t="s">
        <v>719</v>
      </c>
      <c r="D15" s="39" t="s">
        <v>724</v>
      </c>
      <c r="E15" s="39" t="s">
        <v>715</v>
      </c>
      <c r="F15" s="49" t="s">
        <v>721</v>
      </c>
      <c r="G15" s="156"/>
    </row>
    <row r="16" spans="1:7">
      <c r="A16" s="47" t="s">
        <v>725</v>
      </c>
      <c r="B16" s="47" t="s">
        <v>726</v>
      </c>
      <c r="C16" s="47" t="s">
        <v>727</v>
      </c>
      <c r="D16" s="39" t="s">
        <v>728</v>
      </c>
      <c r="E16" s="39" t="s">
        <v>715</v>
      </c>
      <c r="F16" s="49" t="s">
        <v>721</v>
      </c>
      <c r="G16" s="156"/>
    </row>
    <row r="17" spans="1:7">
      <c r="A17" s="47" t="s">
        <v>729</v>
      </c>
      <c r="B17" s="47" t="s">
        <v>730</v>
      </c>
      <c r="C17" s="47" t="s">
        <v>719</v>
      </c>
      <c r="D17" s="39" t="s">
        <v>728</v>
      </c>
      <c r="E17" s="39" t="s">
        <v>715</v>
      </c>
      <c r="F17" s="49" t="s">
        <v>721</v>
      </c>
      <c r="G17" s="156"/>
    </row>
    <row r="18" spans="1:7">
      <c r="A18" s="156"/>
      <c r="B18" s="156"/>
      <c r="C18" s="156"/>
      <c r="D18" s="156"/>
      <c r="E18" s="156"/>
      <c r="F18" s="156"/>
      <c r="G18" s="156"/>
    </row>
    <row r="19" spans="1:7">
      <c r="A19" s="95" t="s">
        <v>731</v>
      </c>
      <c r="B19" s="156"/>
      <c r="C19" s="156"/>
      <c r="D19" s="156"/>
      <c r="E19" s="156"/>
      <c r="F19" s="156"/>
      <c r="G19" s="156"/>
    </row>
    <row r="20" spans="1:7">
      <c r="A20" s="192" t="s">
        <v>732</v>
      </c>
      <c r="B20" s="207"/>
      <c r="C20" s="207"/>
      <c r="D20" s="207"/>
      <c r="E20" s="207"/>
      <c r="F20" s="207"/>
      <c r="G20" s="156"/>
    </row>
    <row r="21" spans="1:7">
      <c r="A21" s="192" t="s">
        <v>733</v>
      </c>
      <c r="B21" s="207"/>
      <c r="C21" s="207"/>
      <c r="D21" s="207"/>
      <c r="E21" s="207"/>
      <c r="F21" s="207"/>
      <c r="G21" s="156"/>
    </row>
    <row r="22" spans="1:7">
      <c r="A22" s="192" t="s">
        <v>734</v>
      </c>
      <c r="B22" s="207"/>
      <c r="C22" s="207"/>
      <c r="D22" s="207"/>
      <c r="E22" s="207"/>
      <c r="F22" s="207"/>
      <c r="G22" s="156"/>
    </row>
    <row r="23" spans="1:7">
      <c r="A23" s="192" t="s">
        <v>735</v>
      </c>
      <c r="B23" s="207"/>
      <c r="C23" s="207"/>
      <c r="D23" s="207"/>
      <c r="E23" s="207"/>
      <c r="F23" s="207"/>
      <c r="G23" s="156"/>
    </row>
    <row r="24" spans="1:7">
      <c r="A24" s="192" t="s">
        <v>736</v>
      </c>
      <c r="B24" s="207"/>
      <c r="C24" s="207"/>
      <c r="D24" s="207"/>
      <c r="E24" s="207"/>
      <c r="F24" s="207"/>
      <c r="G24" s="156"/>
    </row>
    <row r="25" spans="1:7">
      <c r="A25" s="192" t="s">
        <v>737</v>
      </c>
      <c r="B25" s="207"/>
      <c r="C25" s="207"/>
      <c r="D25" s="207"/>
      <c r="E25" s="207"/>
      <c r="F25" s="207"/>
      <c r="G25" s="156"/>
    </row>
    <row r="26" spans="1:7">
      <c r="A26" s="192" t="s">
        <v>738</v>
      </c>
      <c r="B26" s="207"/>
      <c r="C26" s="207"/>
      <c r="D26" s="207"/>
      <c r="E26" s="207"/>
      <c r="F26" s="207"/>
      <c r="G26" s="156"/>
    </row>
    <row r="27" spans="1:7">
      <c r="A27" s="156"/>
      <c r="B27" s="156"/>
      <c r="C27" s="156"/>
      <c r="D27" s="156"/>
      <c r="E27" s="156"/>
      <c r="F27" s="156"/>
      <c r="G27" s="156"/>
    </row>
    <row r="28" spans="1:7">
      <c r="A28" s="95" t="s">
        <v>739</v>
      </c>
      <c r="B28" s="156"/>
      <c r="C28" s="156"/>
      <c r="D28" s="156"/>
      <c r="E28" s="156"/>
      <c r="F28" s="156"/>
      <c r="G28" s="156"/>
    </row>
    <row r="29" spans="1:7">
      <c r="A29" s="38" t="s">
        <v>740</v>
      </c>
      <c r="B29" s="38" t="s">
        <v>555</v>
      </c>
      <c r="C29" s="38" t="s">
        <v>741</v>
      </c>
      <c r="D29" s="38" t="s">
        <v>742</v>
      </c>
      <c r="E29" s="38" t="s">
        <v>743</v>
      </c>
      <c r="F29" s="38" t="s">
        <v>744</v>
      </c>
      <c r="G29" s="156"/>
    </row>
    <row r="30" spans="1:7">
      <c r="A30" s="39" t="s">
        <v>745</v>
      </c>
      <c r="B30" s="39" t="s">
        <v>559</v>
      </c>
      <c r="C30" s="90" t="s">
        <v>746</v>
      </c>
      <c r="D30" s="143" t="s">
        <v>747</v>
      </c>
      <c r="E30" s="144" t="s">
        <v>748</v>
      </c>
      <c r="F30" s="49" t="s">
        <v>749</v>
      </c>
      <c r="G30" s="156"/>
    </row>
    <row r="31" spans="1:7">
      <c r="A31" s="39" t="s">
        <v>750</v>
      </c>
      <c r="B31" s="39" t="s">
        <v>559</v>
      </c>
      <c r="C31" s="90" t="s">
        <v>751</v>
      </c>
      <c r="D31" s="143" t="s">
        <v>752</v>
      </c>
      <c r="E31" s="144" t="s">
        <v>753</v>
      </c>
      <c r="F31" s="49" t="s">
        <v>754</v>
      </c>
      <c r="G31" s="156"/>
    </row>
    <row r="32" spans="1:7">
      <c r="A32" s="39" t="s">
        <v>745</v>
      </c>
      <c r="B32" s="39" t="s">
        <v>565</v>
      </c>
      <c r="C32" s="90" t="s">
        <v>755</v>
      </c>
      <c r="D32" s="143" t="s">
        <v>756</v>
      </c>
      <c r="E32" s="144" t="s">
        <v>757</v>
      </c>
      <c r="F32" s="49" t="s">
        <v>758</v>
      </c>
      <c r="G32" s="156"/>
    </row>
    <row r="33" spans="1:7">
      <c r="A33" s="39" t="s">
        <v>750</v>
      </c>
      <c r="B33" s="39" t="s">
        <v>565</v>
      </c>
      <c r="C33" s="90" t="s">
        <v>755</v>
      </c>
      <c r="D33" s="143" t="s">
        <v>756</v>
      </c>
      <c r="E33" s="144" t="s">
        <v>757</v>
      </c>
      <c r="F33" s="49" t="s">
        <v>758</v>
      </c>
      <c r="G33" s="156"/>
    </row>
    <row r="34" spans="1:7">
      <c r="A34" s="39" t="s">
        <v>759</v>
      </c>
      <c r="B34" s="39" t="s">
        <v>562</v>
      </c>
      <c r="C34" s="90"/>
      <c r="D34" s="39" t="s">
        <v>760</v>
      </c>
      <c r="E34" s="39" t="s">
        <v>761</v>
      </c>
      <c r="F34" s="96" t="s">
        <v>762</v>
      </c>
      <c r="G34" s="156"/>
    </row>
    <row r="35" spans="1:7">
      <c r="A35" s="53" t="s">
        <v>763</v>
      </c>
      <c r="B35" s="156"/>
      <c r="C35" s="156"/>
      <c r="D35" s="156"/>
      <c r="E35" s="155">
        <v>80.5</v>
      </c>
      <c r="F35" s="156"/>
      <c r="G35" s="156"/>
    </row>
    <row r="36" spans="1:7">
      <c r="A36" s="95" t="s">
        <v>764</v>
      </c>
      <c r="B36" s="156"/>
      <c r="C36" s="156"/>
      <c r="D36" s="156"/>
      <c r="E36" s="156"/>
      <c r="F36" s="156"/>
      <c r="G36" s="156"/>
    </row>
    <row r="37" spans="1:7">
      <c r="A37" s="38" t="s">
        <v>765</v>
      </c>
      <c r="B37" s="38" t="s">
        <v>766</v>
      </c>
      <c r="C37" s="38" t="s">
        <v>485</v>
      </c>
      <c r="D37" s="38"/>
      <c r="E37" s="38"/>
      <c r="F37" s="38"/>
      <c r="G37" s="156"/>
    </row>
    <row r="38" spans="1:7">
      <c r="A38" s="145" t="s">
        <v>767</v>
      </c>
      <c r="B38" s="194" t="s">
        <v>768</v>
      </c>
      <c r="C38" s="204"/>
      <c r="D38" s="205"/>
      <c r="E38" s="195" t="s">
        <v>769</v>
      </c>
      <c r="F38" s="205"/>
      <c r="G38" s="38" t="s">
        <v>179</v>
      </c>
    </row>
    <row r="39" spans="1:7">
      <c r="A39" s="50" t="s">
        <v>770</v>
      </c>
      <c r="B39" s="196" t="s">
        <v>771</v>
      </c>
      <c r="C39" s="204"/>
      <c r="D39" s="205"/>
      <c r="E39" s="193" t="s">
        <v>772</v>
      </c>
      <c r="F39" s="205"/>
      <c r="G39" s="19">
        <v>7.5</v>
      </c>
    </row>
    <row r="40" spans="1:7">
      <c r="A40" s="50" t="s">
        <v>773</v>
      </c>
      <c r="B40" s="196" t="s">
        <v>774</v>
      </c>
      <c r="C40" s="204"/>
      <c r="D40" s="205"/>
      <c r="E40" s="193" t="s">
        <v>775</v>
      </c>
      <c r="F40" s="205"/>
      <c r="G40" s="36">
        <f>G39*Assumptions!G11</f>
        <v>46.5</v>
      </c>
    </row>
    <row r="41" spans="1:7">
      <c r="A41" s="97" t="s">
        <v>776</v>
      </c>
      <c r="B41" s="197" t="s">
        <v>777</v>
      </c>
      <c r="C41" s="204"/>
      <c r="D41" s="205"/>
      <c r="E41" s="198" t="s">
        <v>778</v>
      </c>
      <c r="F41" s="205"/>
      <c r="G41" s="55">
        <f>Assumptions!G11</f>
        <v>6.2</v>
      </c>
    </row>
    <row r="42" spans="1:7">
      <c r="A42" s="50" t="s">
        <v>779</v>
      </c>
      <c r="B42" s="212" t="s">
        <v>780</v>
      </c>
      <c r="C42" s="204"/>
      <c r="D42" s="205"/>
      <c r="E42" s="211" t="s">
        <v>781</v>
      </c>
      <c r="F42" s="205"/>
      <c r="G42" s="156"/>
    </row>
    <row r="43" spans="1:7">
      <c r="A43" s="156"/>
      <c r="B43" s="156"/>
      <c r="C43" s="156"/>
      <c r="D43" s="156"/>
      <c r="E43" s="156"/>
      <c r="F43" s="156"/>
      <c r="G43" s="156"/>
    </row>
    <row r="44" spans="1:7">
      <c r="A44" s="95" t="s">
        <v>782</v>
      </c>
      <c r="B44" s="156"/>
      <c r="C44" s="156"/>
      <c r="D44" s="156"/>
      <c r="E44" s="156"/>
      <c r="F44" s="156"/>
      <c r="G44" s="156"/>
    </row>
    <row r="45" spans="1:7">
      <c r="A45" s="38" t="s">
        <v>570</v>
      </c>
      <c r="B45" s="38" t="s">
        <v>783</v>
      </c>
      <c r="C45" s="38" t="s">
        <v>485</v>
      </c>
      <c r="D45" s="38"/>
      <c r="E45" s="38"/>
      <c r="F45" s="38"/>
      <c r="G45" s="156"/>
    </row>
    <row r="46" spans="1:7">
      <c r="A46" s="50" t="s">
        <v>750</v>
      </c>
      <c r="B46" s="212" t="s">
        <v>784</v>
      </c>
      <c r="C46" s="204"/>
      <c r="D46" s="205"/>
      <c r="E46" s="211" t="s">
        <v>785</v>
      </c>
      <c r="F46" s="205"/>
      <c r="G46" s="156"/>
    </row>
    <row r="47" spans="1:7">
      <c r="A47" s="50" t="s">
        <v>745</v>
      </c>
      <c r="B47" s="212" t="s">
        <v>786</v>
      </c>
      <c r="C47" s="204"/>
      <c r="D47" s="205"/>
      <c r="E47" s="211" t="s">
        <v>787</v>
      </c>
      <c r="F47" s="205"/>
      <c r="G47" s="156"/>
    </row>
    <row r="48" spans="1:7">
      <c r="A48" s="50" t="s">
        <v>788</v>
      </c>
      <c r="B48" s="212" t="s">
        <v>789</v>
      </c>
      <c r="C48" s="204"/>
      <c r="D48" s="205"/>
      <c r="E48" s="211" t="s">
        <v>787</v>
      </c>
      <c r="F48" s="205"/>
      <c r="G48" s="156"/>
    </row>
    <row r="49" spans="1:7">
      <c r="A49" s="50" t="s">
        <v>790</v>
      </c>
      <c r="B49" s="212" t="s">
        <v>791</v>
      </c>
      <c r="C49" s="204"/>
      <c r="D49" s="205"/>
      <c r="E49" s="211" t="s">
        <v>787</v>
      </c>
      <c r="F49" s="205"/>
      <c r="G49" s="156"/>
    </row>
    <row r="50" spans="1:7">
      <c r="A50" s="50" t="s">
        <v>706</v>
      </c>
      <c r="B50" s="212" t="s">
        <v>792</v>
      </c>
      <c r="C50" s="204"/>
      <c r="D50" s="205"/>
      <c r="E50" s="211" t="s">
        <v>514</v>
      </c>
      <c r="F50" s="205"/>
      <c r="G50" s="156"/>
    </row>
    <row r="51" spans="1:7">
      <c r="A51" s="50" t="s">
        <v>793</v>
      </c>
      <c r="B51" s="212" t="s">
        <v>794</v>
      </c>
      <c r="C51" s="204"/>
      <c r="D51" s="205"/>
      <c r="E51" s="211" t="s">
        <v>795</v>
      </c>
      <c r="F51" s="205"/>
      <c r="G51" s="156"/>
    </row>
    <row r="52" spans="1:7">
      <c r="A52" s="156"/>
      <c r="B52" s="156"/>
      <c r="C52" s="156"/>
      <c r="D52" s="156"/>
      <c r="E52" s="156"/>
      <c r="F52" s="156"/>
      <c r="G52" s="156"/>
    </row>
    <row r="53" spans="1:7">
      <c r="A53" s="95" t="s">
        <v>796</v>
      </c>
      <c r="B53" s="156"/>
      <c r="C53" s="156"/>
      <c r="D53" s="156"/>
      <c r="E53" s="156"/>
      <c r="F53" s="156"/>
      <c r="G53" s="156"/>
    </row>
    <row r="54" spans="1:7">
      <c r="A54" s="38" t="s">
        <v>701</v>
      </c>
      <c r="B54" s="38" t="s">
        <v>555</v>
      </c>
      <c r="C54" s="38" t="s">
        <v>797</v>
      </c>
      <c r="D54" s="38" t="s">
        <v>798</v>
      </c>
      <c r="E54" s="38" t="s">
        <v>744</v>
      </c>
      <c r="F54" s="38" t="s">
        <v>485</v>
      </c>
      <c r="G54" s="156"/>
    </row>
    <row r="55" spans="1:7">
      <c r="A55" s="51" t="s">
        <v>799</v>
      </c>
      <c r="B55" s="66" t="s">
        <v>559</v>
      </c>
      <c r="C55" s="66" t="s">
        <v>800</v>
      </c>
      <c r="D55" s="66" t="s">
        <v>727</v>
      </c>
      <c r="E55" s="51" t="s">
        <v>801</v>
      </c>
      <c r="F55" s="142" t="s">
        <v>802</v>
      </c>
      <c r="G55" s="156"/>
    </row>
    <row r="56" spans="1:7">
      <c r="A56" s="51" t="s">
        <v>799</v>
      </c>
      <c r="B56" s="66" t="s">
        <v>565</v>
      </c>
      <c r="C56" s="66" t="s">
        <v>803</v>
      </c>
      <c r="D56" s="66" t="s">
        <v>727</v>
      </c>
      <c r="E56" s="51" t="s">
        <v>804</v>
      </c>
      <c r="F56" s="142" t="s">
        <v>802</v>
      </c>
      <c r="G56" s="156"/>
    </row>
    <row r="57" spans="1:7">
      <c r="A57" s="51" t="s">
        <v>799</v>
      </c>
      <c r="B57" s="66" t="s">
        <v>562</v>
      </c>
      <c r="C57" s="66" t="s">
        <v>805</v>
      </c>
      <c r="D57" s="66" t="s">
        <v>727</v>
      </c>
      <c r="E57" s="147" t="s">
        <v>806</v>
      </c>
      <c r="F57" s="142" t="s">
        <v>807</v>
      </c>
      <c r="G57" s="156"/>
    </row>
    <row r="58" spans="1:7">
      <c r="A58" s="51" t="s">
        <v>808</v>
      </c>
      <c r="B58" s="66" t="s">
        <v>562</v>
      </c>
      <c r="C58" s="66" t="s">
        <v>809</v>
      </c>
      <c r="D58" s="66" t="s">
        <v>727</v>
      </c>
      <c r="E58" s="87" t="s">
        <v>810</v>
      </c>
      <c r="F58" s="142" t="s">
        <v>811</v>
      </c>
      <c r="G58" s="156"/>
    </row>
    <row r="59" spans="1:7">
      <c r="A59" s="51" t="s">
        <v>812</v>
      </c>
      <c r="B59" s="66" t="s">
        <v>813</v>
      </c>
      <c r="C59" s="66" t="s">
        <v>814</v>
      </c>
      <c r="D59" s="66" t="s">
        <v>440</v>
      </c>
      <c r="E59" s="51" t="s">
        <v>815</v>
      </c>
      <c r="F59" s="142" t="s">
        <v>816</v>
      </c>
      <c r="G59" s="156"/>
    </row>
    <row r="60" spans="1:7">
      <c r="A60" s="51" t="s">
        <v>817</v>
      </c>
      <c r="B60" s="66" t="s">
        <v>469</v>
      </c>
      <c r="C60" s="66" t="s">
        <v>469</v>
      </c>
      <c r="D60" s="66" t="s">
        <v>465</v>
      </c>
      <c r="E60" s="51" t="s">
        <v>818</v>
      </c>
      <c r="F60" s="142" t="s">
        <v>525</v>
      </c>
      <c r="G60" s="156"/>
    </row>
    <row r="61" spans="1:7">
      <c r="A61" s="156"/>
      <c r="B61" s="156"/>
      <c r="C61" s="156"/>
      <c r="D61" s="156"/>
      <c r="E61" s="156"/>
      <c r="F61" s="156"/>
      <c r="G61" s="156"/>
    </row>
    <row r="62" spans="1:7">
      <c r="A62" s="95" t="s">
        <v>819</v>
      </c>
      <c r="B62" s="156"/>
      <c r="C62" s="156"/>
      <c r="D62" s="156"/>
      <c r="E62" s="156"/>
      <c r="F62" s="156"/>
      <c r="G62" s="156"/>
    </row>
    <row r="63" spans="1:7">
      <c r="A63" s="38" t="s">
        <v>704</v>
      </c>
      <c r="B63" s="38" t="s">
        <v>742</v>
      </c>
      <c r="C63" s="38" t="s">
        <v>820</v>
      </c>
      <c r="D63" s="38" t="s">
        <v>821</v>
      </c>
      <c r="E63" s="38" t="s">
        <v>822</v>
      </c>
      <c r="F63" s="38" t="s">
        <v>823</v>
      </c>
      <c r="G63" s="156"/>
    </row>
    <row r="64" spans="1:7">
      <c r="A64" s="125" t="s">
        <v>824</v>
      </c>
      <c r="B64" s="39" t="s">
        <v>825</v>
      </c>
      <c r="C64" s="39" t="s">
        <v>826</v>
      </c>
      <c r="D64" s="39" t="s">
        <v>827</v>
      </c>
      <c r="E64" s="39" t="s">
        <v>828</v>
      </c>
      <c r="F64" s="39" t="s">
        <v>829</v>
      </c>
      <c r="G64" s="156"/>
    </row>
    <row r="65" spans="1:7">
      <c r="A65" s="50" t="s">
        <v>830</v>
      </c>
      <c r="B65" s="39" t="s">
        <v>756</v>
      </c>
      <c r="C65" s="39" t="s">
        <v>831</v>
      </c>
      <c r="D65" s="39" t="s">
        <v>832</v>
      </c>
      <c r="E65" s="39" t="s">
        <v>833</v>
      </c>
      <c r="F65" s="39" t="s">
        <v>834</v>
      </c>
      <c r="G65" s="156"/>
    </row>
    <row r="66" spans="1:7">
      <c r="A66" s="50" t="s">
        <v>835</v>
      </c>
      <c r="B66" s="39" t="s">
        <v>836</v>
      </c>
      <c r="C66" s="39" t="s">
        <v>837</v>
      </c>
      <c r="D66" s="39" t="s">
        <v>838</v>
      </c>
      <c r="E66" s="39" t="s">
        <v>839</v>
      </c>
      <c r="F66" s="39" t="s">
        <v>840</v>
      </c>
      <c r="G66" s="156"/>
    </row>
    <row r="67" spans="1:7">
      <c r="A67" s="50" t="s">
        <v>841</v>
      </c>
      <c r="B67" s="39" t="s">
        <v>842</v>
      </c>
      <c r="C67" s="39" t="s">
        <v>843</v>
      </c>
      <c r="D67" s="39" t="s">
        <v>844</v>
      </c>
      <c r="E67" s="39" t="s">
        <v>845</v>
      </c>
      <c r="F67" s="39" t="s">
        <v>846</v>
      </c>
      <c r="G67" s="156"/>
    </row>
    <row r="68" spans="1:7">
      <c r="A68" s="50" t="s">
        <v>847</v>
      </c>
      <c r="B68" s="39" t="s">
        <v>848</v>
      </c>
      <c r="C68" s="39" t="s">
        <v>849</v>
      </c>
      <c r="D68" s="39" t="s">
        <v>850</v>
      </c>
      <c r="E68" s="39" t="s">
        <v>851</v>
      </c>
      <c r="F68" s="39" t="s">
        <v>852</v>
      </c>
      <c r="G68" s="156"/>
    </row>
    <row r="69" spans="1:7">
      <c r="A69" s="156"/>
      <c r="B69" s="156"/>
      <c r="C69" s="156"/>
      <c r="D69" s="156"/>
      <c r="E69" s="156"/>
      <c r="F69" s="156"/>
      <c r="G69" s="156"/>
    </row>
    <row r="70" spans="1:7">
      <c r="A70" s="95" t="s">
        <v>853</v>
      </c>
      <c r="B70" s="156"/>
      <c r="C70" s="156"/>
      <c r="D70" s="156"/>
      <c r="E70" s="156"/>
      <c r="F70" s="156"/>
      <c r="G70" s="156"/>
    </row>
    <row r="71" spans="1:7">
      <c r="A71" s="38" t="s">
        <v>854</v>
      </c>
      <c r="B71" s="38" t="s">
        <v>855</v>
      </c>
      <c r="C71" s="38" t="s">
        <v>856</v>
      </c>
      <c r="D71" s="38" t="s">
        <v>857</v>
      </c>
      <c r="E71" s="38"/>
      <c r="F71" s="38"/>
      <c r="G71" s="156"/>
    </row>
    <row r="72" spans="1:7">
      <c r="A72" s="51" t="s">
        <v>858</v>
      </c>
      <c r="B72" s="66" t="s">
        <v>859</v>
      </c>
      <c r="C72" s="43" t="s">
        <v>860</v>
      </c>
      <c r="D72" s="148">
        <v>0.95</v>
      </c>
      <c r="E72" s="156"/>
      <c r="F72" s="156"/>
      <c r="G72" s="156"/>
    </row>
    <row r="73" spans="1:7">
      <c r="A73" s="51" t="s">
        <v>861</v>
      </c>
      <c r="B73" s="66" t="s">
        <v>862</v>
      </c>
      <c r="C73" s="43" t="s">
        <v>863</v>
      </c>
      <c r="D73" s="149">
        <v>0.8</v>
      </c>
      <c r="E73" s="156"/>
      <c r="F73" s="156"/>
      <c r="G73" s="156"/>
    </row>
    <row r="74" spans="1:7">
      <c r="A74" s="51" t="s">
        <v>864</v>
      </c>
      <c r="B74" s="66" t="s">
        <v>865</v>
      </c>
      <c r="C74" s="43" t="s">
        <v>866</v>
      </c>
      <c r="D74" s="149">
        <v>0.75</v>
      </c>
      <c r="E74" s="156"/>
      <c r="F74" s="156"/>
      <c r="G74" s="156"/>
    </row>
    <row r="75" spans="1:7">
      <c r="A75" s="51" t="s">
        <v>867</v>
      </c>
      <c r="B75" s="66" t="s">
        <v>868</v>
      </c>
      <c r="C75" s="43" t="s">
        <v>869</v>
      </c>
      <c r="D75" s="9">
        <v>0.65</v>
      </c>
      <c r="E75" s="156"/>
      <c r="F75" s="156"/>
      <c r="G75" s="156"/>
    </row>
    <row r="76" spans="1:7">
      <c r="A76" s="51" t="s">
        <v>870</v>
      </c>
      <c r="B76" s="66" t="s">
        <v>871</v>
      </c>
      <c r="C76" s="43" t="s">
        <v>872</v>
      </c>
      <c r="D76" s="9">
        <v>0.5</v>
      </c>
      <c r="E76" s="156"/>
      <c r="F76" s="156"/>
      <c r="G76" s="156"/>
    </row>
    <row r="77" spans="1:7">
      <c r="A77" s="97" t="s">
        <v>873</v>
      </c>
      <c r="B77" s="156"/>
      <c r="C77" s="156"/>
      <c r="D77" s="10">
        <v>0.78</v>
      </c>
      <c r="E77" s="156"/>
      <c r="F77" s="156"/>
      <c r="G77" s="156"/>
    </row>
    <row r="78" spans="1:7">
      <c r="A78" s="156"/>
      <c r="B78" s="156"/>
      <c r="C78" s="156"/>
      <c r="D78" s="156"/>
      <c r="E78" s="156"/>
      <c r="F78" s="156"/>
      <c r="G78" s="156"/>
    </row>
    <row r="79" spans="1:7">
      <c r="A79" s="95" t="s">
        <v>874</v>
      </c>
      <c r="B79" s="156"/>
      <c r="C79" s="156"/>
      <c r="D79" s="156"/>
      <c r="E79" s="156"/>
      <c r="F79" s="156"/>
      <c r="G79" s="156"/>
    </row>
    <row r="80" spans="1:7">
      <c r="A80" s="38" t="s">
        <v>875</v>
      </c>
      <c r="B80" s="38" t="s">
        <v>127</v>
      </c>
      <c r="C80" s="38" t="s">
        <v>876</v>
      </c>
      <c r="D80" s="38"/>
      <c r="E80" s="38"/>
      <c r="F80" s="38"/>
      <c r="G80" s="156"/>
    </row>
    <row r="81" spans="1:7">
      <c r="A81" s="51" t="s">
        <v>700</v>
      </c>
      <c r="B81" s="150" t="s">
        <v>877</v>
      </c>
      <c r="C81" s="211" t="s">
        <v>878</v>
      </c>
      <c r="D81" s="204"/>
      <c r="E81" s="204"/>
      <c r="F81" s="205"/>
      <c r="G81" s="156"/>
    </row>
    <row r="82" spans="1:7">
      <c r="A82" s="51" t="s">
        <v>742</v>
      </c>
      <c r="B82" s="150" t="s">
        <v>825</v>
      </c>
      <c r="C82" s="211" t="s">
        <v>879</v>
      </c>
      <c r="D82" s="204"/>
      <c r="E82" s="204"/>
      <c r="F82" s="205"/>
      <c r="G82" s="156"/>
    </row>
    <row r="83" spans="1:7">
      <c r="A83" s="51" t="s">
        <v>880</v>
      </c>
      <c r="B83" s="150" t="s">
        <v>881</v>
      </c>
      <c r="C83" s="211" t="s">
        <v>882</v>
      </c>
      <c r="D83" s="204"/>
      <c r="E83" s="204"/>
      <c r="F83" s="205"/>
      <c r="G83" s="156"/>
    </row>
    <row r="84" spans="1:7">
      <c r="A84" s="51" t="s">
        <v>883</v>
      </c>
      <c r="B84" s="150" t="s">
        <v>884</v>
      </c>
      <c r="C84" s="211" t="s">
        <v>885</v>
      </c>
      <c r="D84" s="204"/>
      <c r="E84" s="204"/>
      <c r="F84" s="205"/>
      <c r="G84" s="156"/>
    </row>
    <row r="85" spans="1:7">
      <c r="A85" s="51" t="s">
        <v>886</v>
      </c>
      <c r="B85" s="150" t="s">
        <v>887</v>
      </c>
      <c r="C85" s="211" t="s">
        <v>888</v>
      </c>
      <c r="D85" s="204"/>
      <c r="E85" s="204"/>
      <c r="F85" s="205"/>
      <c r="G85" s="156"/>
    </row>
    <row r="86" spans="1:7">
      <c r="A86" s="51" t="s">
        <v>889</v>
      </c>
      <c r="B86" s="150" t="s">
        <v>890</v>
      </c>
      <c r="C86" s="211" t="s">
        <v>891</v>
      </c>
      <c r="D86" s="204"/>
      <c r="E86" s="204"/>
      <c r="F86" s="205"/>
      <c r="G86" s="156"/>
    </row>
    <row r="87" spans="1:7">
      <c r="A87" s="51" t="s">
        <v>892</v>
      </c>
      <c r="B87" s="150" t="s">
        <v>893</v>
      </c>
      <c r="C87" s="211" t="s">
        <v>894</v>
      </c>
      <c r="D87" s="204"/>
      <c r="E87" s="204"/>
      <c r="F87" s="205"/>
      <c r="G87" s="156"/>
    </row>
    <row r="88" spans="1:7">
      <c r="A88" s="51" t="s">
        <v>895</v>
      </c>
      <c r="B88" s="150" t="s">
        <v>896</v>
      </c>
      <c r="C88" s="211" t="s">
        <v>897</v>
      </c>
      <c r="D88" s="204"/>
      <c r="E88" s="204"/>
      <c r="F88" s="205"/>
      <c r="G88" s="156"/>
    </row>
    <row r="89" spans="1:7">
      <c r="A89" s="51" t="s">
        <v>898</v>
      </c>
      <c r="B89" s="150" t="s">
        <v>899</v>
      </c>
      <c r="C89" s="211" t="s">
        <v>900</v>
      </c>
      <c r="D89" s="204"/>
      <c r="E89" s="204"/>
      <c r="F89" s="205"/>
      <c r="G89" s="156"/>
    </row>
    <row r="90" spans="1:7">
      <c r="A90" s="156"/>
      <c r="B90" s="156"/>
      <c r="C90" s="156"/>
      <c r="D90" s="156"/>
      <c r="E90" s="156"/>
      <c r="F90" s="156"/>
      <c r="G90" s="156"/>
    </row>
    <row r="91" spans="1:7">
      <c r="A91" s="95" t="s">
        <v>901</v>
      </c>
      <c r="B91" s="156"/>
      <c r="C91" s="156"/>
      <c r="D91" s="156"/>
      <c r="E91" s="156"/>
      <c r="F91" s="156"/>
      <c r="G91" s="156"/>
    </row>
    <row r="92" spans="1:7">
      <c r="A92" s="51" t="s">
        <v>902</v>
      </c>
      <c r="B92" s="212" t="s">
        <v>903</v>
      </c>
      <c r="C92" s="204"/>
      <c r="D92" s="204"/>
      <c r="E92" s="204"/>
      <c r="F92" s="205"/>
      <c r="G92" s="156"/>
    </row>
    <row r="93" spans="1:7">
      <c r="A93" s="51" t="s">
        <v>904</v>
      </c>
      <c r="B93" s="212" t="s">
        <v>905</v>
      </c>
      <c r="C93" s="204"/>
      <c r="D93" s="204"/>
      <c r="E93" s="204"/>
      <c r="F93" s="205"/>
      <c r="G93" s="156"/>
    </row>
    <row r="94" spans="1:7">
      <c r="A94" s="51" t="s">
        <v>906</v>
      </c>
      <c r="B94" s="213" t="s">
        <v>907</v>
      </c>
      <c r="C94" s="204"/>
      <c r="D94" s="204"/>
      <c r="E94" s="204"/>
      <c r="F94" s="205"/>
      <c r="G94" s="156"/>
    </row>
    <row r="95" spans="1:7">
      <c r="A95" s="156"/>
      <c r="B95" s="156"/>
      <c r="C95" s="156"/>
      <c r="D95" s="156"/>
      <c r="E95" s="156"/>
      <c r="F95" s="156"/>
      <c r="G95" s="156"/>
    </row>
    <row r="96" spans="1:7">
      <c r="A96" s="95" t="s">
        <v>908</v>
      </c>
      <c r="B96" s="156"/>
      <c r="C96" s="156"/>
      <c r="D96" s="156"/>
      <c r="E96" s="156"/>
      <c r="F96" s="156"/>
      <c r="G96" s="156"/>
    </row>
    <row r="97" spans="1:7">
      <c r="A97" s="51" t="s">
        <v>909</v>
      </c>
      <c r="B97" s="214" t="s">
        <v>910</v>
      </c>
      <c r="C97" s="204"/>
      <c r="D97" s="204"/>
      <c r="E97" s="204"/>
      <c r="F97" s="205"/>
      <c r="G97" s="156"/>
    </row>
    <row r="98" spans="1:7">
      <c r="A98" s="51" t="s">
        <v>821</v>
      </c>
      <c r="B98" s="66" t="s">
        <v>911</v>
      </c>
      <c r="C98" s="156"/>
      <c r="D98" s="156"/>
      <c r="E98" s="156"/>
      <c r="F98" s="156"/>
      <c r="G98" s="156"/>
    </row>
    <row r="99" spans="1:7">
      <c r="A99" s="51" t="s">
        <v>744</v>
      </c>
      <c r="B99" s="66" t="s">
        <v>912</v>
      </c>
      <c r="C99" s="156"/>
      <c r="D99" s="156"/>
      <c r="E99" s="156"/>
      <c r="F99" s="156"/>
      <c r="G99" s="156"/>
    </row>
    <row r="100" spans="1:7">
      <c r="A100" s="51" t="s">
        <v>913</v>
      </c>
      <c r="B100" s="214" t="s">
        <v>914</v>
      </c>
      <c r="C100" s="204"/>
      <c r="D100" s="204"/>
      <c r="E100" s="204"/>
      <c r="F100" s="205"/>
      <c r="G100" s="156"/>
    </row>
  </sheetData>
  <mergeCells count="44">
    <mergeCell ref="A1:G1"/>
    <mergeCell ref="E46:F46"/>
    <mergeCell ref="B41:D41"/>
    <mergeCell ref="C88:F88"/>
    <mergeCell ref="E49:F49"/>
    <mergeCell ref="B50:D50"/>
    <mergeCell ref="C85:F85"/>
    <mergeCell ref="B47:D47"/>
    <mergeCell ref="C84:F84"/>
    <mergeCell ref="A24:F24"/>
    <mergeCell ref="B46:D46"/>
    <mergeCell ref="E41:F41"/>
    <mergeCell ref="B39:D39"/>
    <mergeCell ref="B48:D48"/>
    <mergeCell ref="A25:F25"/>
    <mergeCell ref="A20:F20"/>
    <mergeCell ref="E40:F40"/>
    <mergeCell ref="B51:D51"/>
    <mergeCell ref="C89:F89"/>
    <mergeCell ref="E47:F47"/>
    <mergeCell ref="A26:F26"/>
    <mergeCell ref="B93:F93"/>
    <mergeCell ref="A21:F21"/>
    <mergeCell ref="E48:F48"/>
    <mergeCell ref="E39:F39"/>
    <mergeCell ref="B38:D38"/>
    <mergeCell ref="E51:F51"/>
    <mergeCell ref="E38:F38"/>
    <mergeCell ref="C87:F87"/>
    <mergeCell ref="C83:F83"/>
    <mergeCell ref="A23:F23"/>
    <mergeCell ref="B49:D49"/>
    <mergeCell ref="C86:F86"/>
    <mergeCell ref="B40:D40"/>
    <mergeCell ref="A22:F22"/>
    <mergeCell ref="B92:F92"/>
    <mergeCell ref="B42:D42"/>
    <mergeCell ref="E50:F50"/>
    <mergeCell ref="B100:F100"/>
    <mergeCell ref="E42:F42"/>
    <mergeCell ref="C82:F82"/>
    <mergeCell ref="C81:F81"/>
    <mergeCell ref="B97:F97"/>
    <mergeCell ref="B94:F94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I71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9" width="14" customWidth="1"/>
  </cols>
  <sheetData>
    <row r="1" spans="1:9">
      <c r="A1" s="208" t="s">
        <v>915</v>
      </c>
      <c r="B1" s="207"/>
      <c r="C1" s="207"/>
      <c r="D1" s="207"/>
      <c r="E1" s="207"/>
      <c r="F1" s="207"/>
      <c r="G1" s="207"/>
      <c r="H1" s="207"/>
      <c r="I1" s="207"/>
    </row>
    <row r="2" spans="1:9">
      <c r="A2" s="1" t="s">
        <v>916</v>
      </c>
      <c r="B2" s="156"/>
      <c r="C2" s="156"/>
      <c r="D2" s="156"/>
      <c r="E2" s="156"/>
      <c r="F2" s="156"/>
      <c r="G2" s="156"/>
      <c r="H2" s="156"/>
      <c r="I2" s="156"/>
    </row>
    <row r="3" spans="1:9">
      <c r="A3" s="156"/>
      <c r="B3" s="156"/>
      <c r="C3" s="156"/>
      <c r="D3" s="156"/>
      <c r="E3" s="156"/>
      <c r="F3" s="156"/>
      <c r="G3" s="156"/>
      <c r="H3" s="156"/>
      <c r="I3" s="156"/>
    </row>
    <row r="4" spans="1:9">
      <c r="A4" s="95" t="s">
        <v>917</v>
      </c>
      <c r="B4" s="156"/>
      <c r="C4" s="156"/>
      <c r="D4" s="156"/>
      <c r="E4" s="156"/>
      <c r="F4" s="156"/>
      <c r="G4" s="156"/>
      <c r="H4" s="156"/>
      <c r="I4" s="156"/>
    </row>
    <row r="5" spans="1:9">
      <c r="A5" s="6" t="s">
        <v>918</v>
      </c>
      <c r="B5" s="6" t="s">
        <v>919</v>
      </c>
      <c r="C5" s="6" t="s">
        <v>920</v>
      </c>
      <c r="D5" s="6" t="s">
        <v>921</v>
      </c>
      <c r="E5" s="6" t="s">
        <v>922</v>
      </c>
      <c r="F5" s="6" t="s">
        <v>923</v>
      </c>
      <c r="G5" s="6" t="s">
        <v>924</v>
      </c>
      <c r="H5" s="6" t="s">
        <v>744</v>
      </c>
      <c r="I5" s="156"/>
    </row>
    <row r="6" spans="1:9">
      <c r="A6" s="83" t="s">
        <v>925</v>
      </c>
      <c r="B6" s="90">
        <v>1000</v>
      </c>
      <c r="C6" s="39">
        <v>0</v>
      </c>
      <c r="D6" s="81">
        <v>4.1849999999999998E-2</v>
      </c>
      <c r="E6" s="39" t="s">
        <v>926</v>
      </c>
      <c r="F6" s="39" t="s">
        <v>195</v>
      </c>
      <c r="G6" s="39" t="s">
        <v>195</v>
      </c>
      <c r="H6" s="96" t="s">
        <v>927</v>
      </c>
      <c r="I6" s="156"/>
    </row>
    <row r="7" spans="1:9">
      <c r="A7" s="83" t="s">
        <v>928</v>
      </c>
      <c r="B7" s="90">
        <v>1500</v>
      </c>
      <c r="C7" s="90">
        <v>750</v>
      </c>
      <c r="D7" s="81">
        <v>4.6399999999999997E-2</v>
      </c>
      <c r="E7" s="39" t="s">
        <v>929</v>
      </c>
      <c r="F7" s="39" t="s">
        <v>930</v>
      </c>
      <c r="G7" s="81">
        <v>4.5999999999999999E-2</v>
      </c>
      <c r="H7" s="39" t="s">
        <v>931</v>
      </c>
      <c r="I7" s="156"/>
    </row>
    <row r="8" spans="1:9">
      <c r="A8" s="83" t="s">
        <v>932</v>
      </c>
      <c r="B8" s="90">
        <v>1750</v>
      </c>
      <c r="C8" s="90">
        <v>1750</v>
      </c>
      <c r="D8" s="81">
        <v>5.3269999999999998E-2</v>
      </c>
      <c r="E8" s="39" t="s">
        <v>933</v>
      </c>
      <c r="F8" s="39" t="s">
        <v>934</v>
      </c>
      <c r="G8" s="81">
        <v>5.2999999999999999E-2</v>
      </c>
      <c r="H8" s="39" t="s">
        <v>935</v>
      </c>
      <c r="I8" s="156"/>
    </row>
    <row r="9" spans="1:9">
      <c r="A9" s="83" t="s">
        <v>936</v>
      </c>
      <c r="B9" s="90">
        <v>1000</v>
      </c>
      <c r="C9" s="90">
        <v>1000</v>
      </c>
      <c r="D9" s="81">
        <v>4.4999999999999998E-2</v>
      </c>
      <c r="E9" s="39" t="s">
        <v>937</v>
      </c>
      <c r="F9" s="39" t="s">
        <v>938</v>
      </c>
      <c r="G9" s="81">
        <v>4.4999999999999998E-2</v>
      </c>
      <c r="H9" s="39" t="s">
        <v>935</v>
      </c>
      <c r="I9" s="156"/>
    </row>
    <row r="10" spans="1:9">
      <c r="A10" s="83" t="s">
        <v>939</v>
      </c>
      <c r="B10" s="90">
        <v>2000</v>
      </c>
      <c r="C10" s="90">
        <v>800</v>
      </c>
      <c r="D10" s="81">
        <v>6.7500000000000004E-2</v>
      </c>
      <c r="E10" s="39" t="s">
        <v>940</v>
      </c>
      <c r="F10" s="39" t="s">
        <v>941</v>
      </c>
      <c r="G10" s="81">
        <v>6.5000000000000002E-2</v>
      </c>
      <c r="H10" s="39" t="s">
        <v>942</v>
      </c>
      <c r="I10" s="156"/>
    </row>
    <row r="11" spans="1:9">
      <c r="A11" s="83" t="s">
        <v>943</v>
      </c>
      <c r="B11" s="90">
        <v>1500</v>
      </c>
      <c r="C11" s="90">
        <v>1100</v>
      </c>
      <c r="D11" s="81">
        <v>5.3749999999999999E-2</v>
      </c>
      <c r="E11" s="39" t="s">
        <v>944</v>
      </c>
      <c r="F11" s="39" t="s">
        <v>945</v>
      </c>
      <c r="G11" s="81">
        <v>5.3999999999999999E-2</v>
      </c>
      <c r="H11" s="39" t="s">
        <v>946</v>
      </c>
      <c r="I11" s="156"/>
    </row>
    <row r="12" spans="1:9">
      <c r="A12" s="83" t="s">
        <v>947</v>
      </c>
      <c r="B12" s="90">
        <v>1250</v>
      </c>
      <c r="C12" s="90">
        <v>1250</v>
      </c>
      <c r="D12" s="81">
        <v>4.7500000000000001E-2</v>
      </c>
      <c r="E12" s="39" t="s">
        <v>948</v>
      </c>
      <c r="F12" s="39" t="s">
        <v>949</v>
      </c>
      <c r="G12" s="81">
        <v>4.8000000000000001E-2</v>
      </c>
      <c r="H12" s="39" t="s">
        <v>935</v>
      </c>
      <c r="I12" s="156"/>
    </row>
    <row r="13" spans="1:9">
      <c r="A13" s="83" t="s">
        <v>950</v>
      </c>
      <c r="B13" s="90">
        <v>1500</v>
      </c>
      <c r="C13" s="90">
        <v>1500</v>
      </c>
      <c r="D13" s="81">
        <v>5.8749999999999997E-2</v>
      </c>
      <c r="E13" s="39" t="s">
        <v>951</v>
      </c>
      <c r="F13" s="39" t="s">
        <v>952</v>
      </c>
      <c r="G13" s="81">
        <v>5.8999999999999997E-2</v>
      </c>
      <c r="H13" s="39" t="s">
        <v>935</v>
      </c>
      <c r="I13" s="156"/>
    </row>
    <row r="14" spans="1:9">
      <c r="A14" s="83" t="s">
        <v>953</v>
      </c>
      <c r="B14" s="90">
        <v>1250</v>
      </c>
      <c r="C14" s="90">
        <v>1250</v>
      </c>
      <c r="D14" s="81">
        <v>5.2999999999999999E-2</v>
      </c>
      <c r="E14" s="39" t="s">
        <v>954</v>
      </c>
      <c r="F14" s="39" t="s">
        <v>955</v>
      </c>
      <c r="G14" s="81">
        <v>5.2999999999999999E-2</v>
      </c>
      <c r="H14" s="39" t="s">
        <v>935</v>
      </c>
      <c r="I14" s="156"/>
    </row>
    <row r="15" spans="1:9">
      <c r="A15" s="83" t="s">
        <v>956</v>
      </c>
      <c r="B15" s="90">
        <v>700</v>
      </c>
      <c r="C15" s="90">
        <v>700</v>
      </c>
      <c r="D15" s="81">
        <v>5.5E-2</v>
      </c>
      <c r="E15" s="39" t="s">
        <v>957</v>
      </c>
      <c r="F15" s="39" t="s">
        <v>957</v>
      </c>
      <c r="G15" s="81">
        <v>5.5E-2</v>
      </c>
      <c r="H15" s="39" t="s">
        <v>958</v>
      </c>
      <c r="I15" s="156"/>
    </row>
    <row r="16" spans="1:9">
      <c r="A16" s="97" t="s">
        <v>959</v>
      </c>
      <c r="B16" s="156"/>
      <c r="C16" s="54">
        <f>SUM(C6:C15)</f>
        <v>10100</v>
      </c>
      <c r="D16" s="156"/>
      <c r="E16" s="156"/>
      <c r="F16" s="156"/>
      <c r="G16" s="156"/>
      <c r="H16" s="156"/>
      <c r="I16" s="156"/>
    </row>
    <row r="17" spans="1:9">
      <c r="A17" s="51" t="s">
        <v>960</v>
      </c>
      <c r="B17" s="156"/>
      <c r="C17" s="25">
        <f>SUMPRODUCT(C6:C15,D6:D15)/SUM(C6:C15)</f>
        <v>5.3306683168316833E-2</v>
      </c>
      <c r="D17" s="156"/>
      <c r="E17" s="156"/>
      <c r="F17" s="156"/>
      <c r="G17" s="156"/>
      <c r="H17" s="156"/>
      <c r="I17" s="156"/>
    </row>
    <row r="18" spans="1:9">
      <c r="A18" s="51" t="s">
        <v>961</v>
      </c>
      <c r="B18" s="156"/>
      <c r="C18" s="98">
        <v>4.8</v>
      </c>
      <c r="D18" s="156"/>
      <c r="E18" s="156"/>
      <c r="F18" s="156"/>
      <c r="G18" s="156"/>
      <c r="H18" s="156"/>
      <c r="I18" s="156"/>
    </row>
    <row r="19" spans="1:9">
      <c r="A19" s="156"/>
      <c r="B19" s="156"/>
      <c r="C19" s="156"/>
      <c r="D19" s="156"/>
      <c r="E19" s="156"/>
      <c r="F19" s="156"/>
      <c r="G19" s="156"/>
      <c r="H19" s="156"/>
      <c r="I19" s="156"/>
    </row>
    <row r="20" spans="1:9">
      <c r="A20" s="95" t="s">
        <v>962</v>
      </c>
      <c r="B20" s="156"/>
      <c r="C20" s="156"/>
      <c r="D20" s="156"/>
      <c r="E20" s="156"/>
      <c r="F20" s="156"/>
      <c r="G20" s="156"/>
      <c r="H20" s="156"/>
      <c r="I20" s="156"/>
    </row>
    <row r="21" spans="1:9">
      <c r="A21" s="38"/>
      <c r="B21" s="38" t="s">
        <v>963</v>
      </c>
      <c r="C21" s="38" t="s">
        <v>964</v>
      </c>
      <c r="D21" s="38" t="s">
        <v>965</v>
      </c>
      <c r="E21" s="38" t="s">
        <v>966</v>
      </c>
      <c r="F21" s="38" t="s">
        <v>967</v>
      </c>
      <c r="G21" s="38" t="s">
        <v>968</v>
      </c>
      <c r="H21" s="38" t="s">
        <v>969</v>
      </c>
      <c r="I21" s="156"/>
    </row>
    <row r="22" spans="1:9">
      <c r="A22" s="51" t="s">
        <v>970</v>
      </c>
      <c r="B22" s="18">
        <v>750</v>
      </c>
      <c r="C22" s="18">
        <v>1750</v>
      </c>
      <c r="D22" s="18">
        <v>1000</v>
      </c>
      <c r="E22" s="18">
        <v>800</v>
      </c>
      <c r="F22" s="18">
        <v>1100</v>
      </c>
      <c r="G22" s="18">
        <v>1250</v>
      </c>
      <c r="H22" s="18">
        <v>3450</v>
      </c>
      <c r="I22" s="156"/>
    </row>
    <row r="23" spans="1:9">
      <c r="A23" s="51" t="s">
        <v>971</v>
      </c>
      <c r="B23" s="18">
        <v>-750</v>
      </c>
      <c r="C23" s="18">
        <v>-1750</v>
      </c>
      <c r="D23" s="18">
        <v>-1000</v>
      </c>
      <c r="E23" s="18">
        <v>-800</v>
      </c>
      <c r="F23" s="18">
        <v>-1100</v>
      </c>
      <c r="G23" s="18">
        <v>-1250</v>
      </c>
      <c r="H23" s="18">
        <v>-3450</v>
      </c>
      <c r="I23" s="156"/>
    </row>
    <row r="24" spans="1:9">
      <c r="A24" s="50" t="s">
        <v>972</v>
      </c>
      <c r="B24" s="30">
        <f>C16+B22+B23</f>
        <v>10100</v>
      </c>
      <c r="C24" s="30">
        <f>B24+C22+C23</f>
        <v>10100</v>
      </c>
      <c r="D24" s="30">
        <f>C24+D22+D23</f>
        <v>10100</v>
      </c>
      <c r="E24" s="30">
        <f>D24+E22+E23</f>
        <v>10100</v>
      </c>
      <c r="F24" s="30">
        <f>E24+F22+F23</f>
        <v>10100</v>
      </c>
      <c r="G24" s="30">
        <f>F24+G22+G23</f>
        <v>10100</v>
      </c>
      <c r="H24" s="30">
        <f>G24+H22+H23</f>
        <v>10100</v>
      </c>
      <c r="I24" s="156"/>
    </row>
    <row r="25" spans="1:9">
      <c r="A25" s="156"/>
      <c r="B25" s="156"/>
      <c r="C25" s="156"/>
      <c r="D25" s="156"/>
      <c r="E25" s="156"/>
      <c r="F25" s="156"/>
      <c r="G25" s="156"/>
      <c r="H25" s="156"/>
      <c r="I25" s="156"/>
    </row>
    <row r="26" spans="1:9">
      <c r="A26" s="95" t="s">
        <v>973</v>
      </c>
      <c r="B26" s="156"/>
      <c r="C26" s="156"/>
      <c r="D26" s="156"/>
      <c r="E26" s="156"/>
      <c r="F26" s="156"/>
      <c r="G26" s="156"/>
      <c r="H26" s="156"/>
      <c r="I26" s="156"/>
    </row>
    <row r="27" spans="1:9">
      <c r="A27" s="38"/>
      <c r="B27" s="38" t="s">
        <v>974</v>
      </c>
      <c r="C27" s="38" t="s">
        <v>181</v>
      </c>
      <c r="D27" s="38" t="s">
        <v>185</v>
      </c>
      <c r="E27" s="38" t="s">
        <v>975</v>
      </c>
      <c r="F27" s="156"/>
      <c r="G27" s="156"/>
      <c r="H27" s="156"/>
      <c r="I27" s="156"/>
    </row>
    <row r="28" spans="1:9">
      <c r="A28" s="51" t="s">
        <v>326</v>
      </c>
      <c r="B28" s="18">
        <v>10100</v>
      </c>
      <c r="C28" s="18">
        <v>9000</v>
      </c>
      <c r="D28" s="18">
        <v>5000</v>
      </c>
      <c r="E28" s="18">
        <v>2000</v>
      </c>
      <c r="F28" s="156"/>
      <c r="G28" s="156"/>
      <c r="H28" s="156"/>
      <c r="I28" s="156"/>
    </row>
    <row r="29" spans="1:9">
      <c r="A29" s="51" t="s">
        <v>976</v>
      </c>
      <c r="B29" s="18">
        <v>16700</v>
      </c>
      <c r="C29" s="18">
        <v>25000</v>
      </c>
      <c r="D29" s="18">
        <v>40000</v>
      </c>
      <c r="E29" s="18">
        <v>50000</v>
      </c>
      <c r="F29" s="156"/>
      <c r="G29" s="156"/>
      <c r="H29" s="156"/>
      <c r="I29" s="156"/>
    </row>
    <row r="30" spans="1:9">
      <c r="A30" s="97" t="s">
        <v>977</v>
      </c>
      <c r="B30" s="54">
        <f>B28-B29</f>
        <v>-6600</v>
      </c>
      <c r="C30" s="54">
        <f>C28-C29</f>
        <v>-16000</v>
      </c>
      <c r="D30" s="54">
        <f>D28-D29</f>
        <v>-35000</v>
      </c>
      <c r="E30" s="54">
        <f>E28-E29</f>
        <v>-48000</v>
      </c>
      <c r="F30" s="156"/>
      <c r="G30" s="156"/>
      <c r="H30" s="156"/>
      <c r="I30" s="156"/>
    </row>
    <row r="31" spans="1:9">
      <c r="A31" s="51" t="s">
        <v>978</v>
      </c>
      <c r="B31" s="13">
        <v>-0.15</v>
      </c>
      <c r="C31" s="13">
        <v>-0.3</v>
      </c>
      <c r="D31" s="13">
        <v>-0.8</v>
      </c>
      <c r="E31" s="13">
        <v>-1.2</v>
      </c>
      <c r="F31" s="156"/>
      <c r="G31" s="156"/>
      <c r="H31" s="156"/>
      <c r="I31" s="156"/>
    </row>
    <row r="32" spans="1:9">
      <c r="A32" s="156"/>
      <c r="B32" s="156"/>
      <c r="C32" s="156"/>
      <c r="D32" s="156"/>
      <c r="E32" s="156"/>
      <c r="F32" s="156"/>
      <c r="G32" s="156"/>
      <c r="H32" s="156"/>
      <c r="I32" s="156"/>
    </row>
    <row r="33" spans="1:9">
      <c r="A33" s="209" t="s">
        <v>979</v>
      </c>
      <c r="B33" s="207"/>
      <c r="C33" s="207"/>
      <c r="D33" s="207"/>
      <c r="E33" s="207"/>
      <c r="F33" s="207"/>
      <c r="G33" s="207"/>
      <c r="H33" s="207"/>
      <c r="I33" s="207"/>
    </row>
    <row r="34" spans="1:9">
      <c r="A34" s="156"/>
      <c r="B34" s="156"/>
      <c r="C34" s="156"/>
      <c r="D34" s="156"/>
      <c r="E34" s="156"/>
      <c r="F34" s="156"/>
      <c r="G34" s="156"/>
      <c r="H34" s="156"/>
      <c r="I34" s="156"/>
    </row>
    <row r="35" spans="1:9">
      <c r="A35" s="95" t="s">
        <v>980</v>
      </c>
      <c r="B35" s="156"/>
      <c r="C35" s="156"/>
      <c r="D35" s="156"/>
      <c r="E35" s="156"/>
      <c r="F35" s="156"/>
      <c r="G35" s="156"/>
      <c r="H35" s="156"/>
      <c r="I35" s="156"/>
    </row>
    <row r="36" spans="1:9">
      <c r="A36" s="6" t="s">
        <v>981</v>
      </c>
      <c r="B36" s="6" t="s">
        <v>982</v>
      </c>
      <c r="C36" s="6" t="s">
        <v>920</v>
      </c>
      <c r="D36" s="6" t="s">
        <v>180</v>
      </c>
      <c r="E36" s="6" t="s">
        <v>181</v>
      </c>
      <c r="F36" s="6" t="s">
        <v>182</v>
      </c>
      <c r="G36" s="6" t="s">
        <v>183</v>
      </c>
      <c r="H36" s="6" t="s">
        <v>184</v>
      </c>
      <c r="I36" s="6" t="s">
        <v>185</v>
      </c>
    </row>
    <row r="37" spans="1:9">
      <c r="A37" s="51" t="s">
        <v>983</v>
      </c>
      <c r="B37" s="9">
        <v>4.6399999999999997E-2</v>
      </c>
      <c r="C37" s="18">
        <v>750</v>
      </c>
      <c r="D37" s="18">
        <v>750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</row>
    <row r="38" spans="1:9">
      <c r="A38" s="51" t="s">
        <v>984</v>
      </c>
      <c r="B38" s="9">
        <v>5.3269999999999998E-2</v>
      </c>
      <c r="C38" s="18">
        <v>1750</v>
      </c>
      <c r="D38" s="18">
        <v>1750</v>
      </c>
      <c r="E38" s="18">
        <v>1750</v>
      </c>
      <c r="F38" s="18">
        <v>0</v>
      </c>
      <c r="G38" s="18">
        <v>0</v>
      </c>
      <c r="H38" s="18">
        <v>0</v>
      </c>
      <c r="I38" s="18">
        <v>0</v>
      </c>
    </row>
    <row r="39" spans="1:9">
      <c r="A39" s="51" t="s">
        <v>985</v>
      </c>
      <c r="B39" s="9">
        <v>4.4999999999999998E-2</v>
      </c>
      <c r="C39" s="18">
        <v>1000</v>
      </c>
      <c r="D39" s="18">
        <v>1000</v>
      </c>
      <c r="E39" s="18">
        <v>1000</v>
      </c>
      <c r="F39" s="18">
        <v>1000</v>
      </c>
      <c r="G39" s="18">
        <v>1000</v>
      </c>
      <c r="H39" s="18">
        <v>1000</v>
      </c>
      <c r="I39" s="18">
        <v>1000</v>
      </c>
    </row>
    <row r="40" spans="1:9">
      <c r="A40" s="51" t="s">
        <v>986</v>
      </c>
      <c r="B40" s="9">
        <v>6.7500000000000004E-2</v>
      </c>
      <c r="C40" s="18">
        <v>800</v>
      </c>
      <c r="D40" s="18">
        <v>800</v>
      </c>
      <c r="E40" s="18">
        <v>800</v>
      </c>
      <c r="F40" s="18">
        <v>800</v>
      </c>
      <c r="G40" s="18">
        <v>800</v>
      </c>
      <c r="H40" s="18">
        <v>800</v>
      </c>
      <c r="I40" s="18">
        <v>800</v>
      </c>
    </row>
    <row r="41" spans="1:9">
      <c r="A41" s="51" t="s">
        <v>987</v>
      </c>
      <c r="B41" s="9">
        <v>5.3749999999999999E-2</v>
      </c>
      <c r="C41" s="18">
        <v>1100</v>
      </c>
      <c r="D41" s="18">
        <v>1100</v>
      </c>
      <c r="E41" s="18">
        <v>1100</v>
      </c>
      <c r="F41" s="18">
        <v>1100</v>
      </c>
      <c r="G41" s="18">
        <v>1100</v>
      </c>
      <c r="H41" s="18">
        <v>1100</v>
      </c>
      <c r="I41" s="18">
        <v>1100</v>
      </c>
    </row>
    <row r="42" spans="1:9">
      <c r="A42" s="51" t="s">
        <v>988</v>
      </c>
      <c r="B42" s="9">
        <v>4.7500000000000001E-2</v>
      </c>
      <c r="C42" s="18">
        <v>1250</v>
      </c>
      <c r="D42" s="18">
        <v>1250</v>
      </c>
      <c r="E42" s="18">
        <v>1250</v>
      </c>
      <c r="F42" s="18">
        <v>1250</v>
      </c>
      <c r="G42" s="18">
        <v>1250</v>
      </c>
      <c r="H42" s="18">
        <v>1250</v>
      </c>
      <c r="I42" s="18">
        <v>1250</v>
      </c>
    </row>
    <row r="43" spans="1:9">
      <c r="A43" s="51" t="s">
        <v>989</v>
      </c>
      <c r="B43" s="9">
        <v>5.8749999999999997E-2</v>
      </c>
      <c r="C43" s="18">
        <v>1500</v>
      </c>
      <c r="D43" s="18">
        <v>1500</v>
      </c>
      <c r="E43" s="18">
        <v>1500</v>
      </c>
      <c r="F43" s="18">
        <v>1500</v>
      </c>
      <c r="G43" s="18">
        <v>1500</v>
      </c>
      <c r="H43" s="18">
        <v>1500</v>
      </c>
      <c r="I43" s="18">
        <v>1500</v>
      </c>
    </row>
    <row r="44" spans="1:9">
      <c r="A44" s="51" t="s">
        <v>990</v>
      </c>
      <c r="B44" s="9">
        <v>5.2999999999999999E-2</v>
      </c>
      <c r="C44" s="18">
        <v>1250</v>
      </c>
      <c r="D44" s="18">
        <v>1250</v>
      </c>
      <c r="E44" s="18">
        <v>1250</v>
      </c>
      <c r="F44" s="18">
        <v>1250</v>
      </c>
      <c r="G44" s="18">
        <v>1250</v>
      </c>
      <c r="H44" s="18">
        <v>1250</v>
      </c>
      <c r="I44" s="18">
        <v>1250</v>
      </c>
    </row>
    <row r="45" spans="1:9">
      <c r="A45" s="51" t="s">
        <v>991</v>
      </c>
      <c r="B45" s="9">
        <v>5.5E-2</v>
      </c>
      <c r="C45" s="18">
        <v>700</v>
      </c>
      <c r="D45" s="18">
        <v>700</v>
      </c>
      <c r="E45" s="18">
        <v>500</v>
      </c>
      <c r="F45" s="18">
        <v>400</v>
      </c>
      <c r="G45" s="18">
        <v>300</v>
      </c>
      <c r="H45" s="18">
        <v>200</v>
      </c>
      <c r="I45" s="18">
        <v>100</v>
      </c>
    </row>
    <row r="46" spans="1:9">
      <c r="A46" s="156"/>
      <c r="B46" s="156"/>
      <c r="C46" s="156"/>
      <c r="D46" s="156"/>
      <c r="E46" s="156"/>
      <c r="F46" s="156"/>
      <c r="G46" s="156"/>
      <c r="H46" s="156"/>
      <c r="I46" s="156"/>
    </row>
    <row r="47" spans="1:9">
      <c r="A47" s="95" t="s">
        <v>992</v>
      </c>
      <c r="B47" s="156"/>
      <c r="C47" s="156"/>
      <c r="D47" s="156"/>
      <c r="E47" s="156"/>
      <c r="F47" s="156"/>
      <c r="G47" s="156"/>
      <c r="H47" s="156"/>
      <c r="I47" s="156"/>
    </row>
    <row r="48" spans="1:9">
      <c r="A48" s="119" t="s">
        <v>983</v>
      </c>
      <c r="B48" s="156"/>
      <c r="C48" s="156"/>
      <c r="D48" s="32">
        <f>D37*B37/4</f>
        <v>8.6999999999999993</v>
      </c>
      <c r="E48" s="32">
        <f>E37*B37/4</f>
        <v>0</v>
      </c>
      <c r="F48" s="32">
        <f>F37*B37/4</f>
        <v>0</v>
      </c>
      <c r="G48" s="32">
        <f>G37*B37/4</f>
        <v>0</v>
      </c>
      <c r="H48" s="32">
        <f>H37*B37/4</f>
        <v>0</v>
      </c>
      <c r="I48" s="32">
        <f>I37*B37/4</f>
        <v>0</v>
      </c>
    </row>
    <row r="49" spans="1:9">
      <c r="A49" s="119" t="s">
        <v>984</v>
      </c>
      <c r="B49" s="156"/>
      <c r="C49" s="156"/>
      <c r="D49" s="32">
        <f>D38*B38/4</f>
        <v>23.305624999999999</v>
      </c>
      <c r="E49" s="32">
        <f>E38*B38/4</f>
        <v>23.305624999999999</v>
      </c>
      <c r="F49" s="32">
        <f>F38*B38/4</f>
        <v>0</v>
      </c>
      <c r="G49" s="32">
        <f>G38*B38/4</f>
        <v>0</v>
      </c>
      <c r="H49" s="32">
        <f>H38*B38/4</f>
        <v>0</v>
      </c>
      <c r="I49" s="32">
        <f>I38*B38/4</f>
        <v>0</v>
      </c>
    </row>
    <row r="50" spans="1:9">
      <c r="A50" s="119" t="s">
        <v>985</v>
      </c>
      <c r="B50" s="156"/>
      <c r="C50" s="156"/>
      <c r="D50" s="32">
        <f>D39*B39/4</f>
        <v>11.25</v>
      </c>
      <c r="E50" s="32">
        <f>E39*B39/4</f>
        <v>11.25</v>
      </c>
      <c r="F50" s="32">
        <f>F39*B39/4</f>
        <v>11.25</v>
      </c>
      <c r="G50" s="32">
        <f>G39*B39/4</f>
        <v>11.25</v>
      </c>
      <c r="H50" s="32">
        <f>H39*B39/4</f>
        <v>11.25</v>
      </c>
      <c r="I50" s="32">
        <f>I39*B39/4</f>
        <v>11.25</v>
      </c>
    </row>
    <row r="51" spans="1:9">
      <c r="A51" s="119" t="s">
        <v>986</v>
      </c>
      <c r="B51" s="156"/>
      <c r="C51" s="156"/>
      <c r="D51" s="32">
        <f>D40*B40/4</f>
        <v>13.5</v>
      </c>
      <c r="E51" s="32">
        <f>E40*B40/4</f>
        <v>13.5</v>
      </c>
      <c r="F51" s="32">
        <f>F40*B40/4</f>
        <v>13.5</v>
      </c>
      <c r="G51" s="32">
        <f>G40*B40/4</f>
        <v>13.5</v>
      </c>
      <c r="H51" s="32">
        <f>H40*B40/4</f>
        <v>13.5</v>
      </c>
      <c r="I51" s="32">
        <f>I40*B40/4</f>
        <v>13.5</v>
      </c>
    </row>
    <row r="52" spans="1:9">
      <c r="A52" s="119" t="s">
        <v>987</v>
      </c>
      <c r="B52" s="156"/>
      <c r="C52" s="156"/>
      <c r="D52" s="32">
        <f>D41*B41/4</f>
        <v>14.78125</v>
      </c>
      <c r="E52" s="32">
        <f>E41*B41/4</f>
        <v>14.78125</v>
      </c>
      <c r="F52" s="32">
        <f>F41*B41/4</f>
        <v>14.78125</v>
      </c>
      <c r="G52" s="32">
        <f>G41*B41/4</f>
        <v>14.78125</v>
      </c>
      <c r="H52" s="32">
        <f>H41*B41/4</f>
        <v>14.78125</v>
      </c>
      <c r="I52" s="32">
        <f>I41*B41/4</f>
        <v>14.78125</v>
      </c>
    </row>
    <row r="53" spans="1:9">
      <c r="A53" s="119" t="s">
        <v>988</v>
      </c>
      <c r="B53" s="156"/>
      <c r="C53" s="156"/>
      <c r="D53" s="32">
        <f>D42*B42/4</f>
        <v>14.84375</v>
      </c>
      <c r="E53" s="32">
        <f>E42*B42/4</f>
        <v>14.84375</v>
      </c>
      <c r="F53" s="32">
        <f>F42*B42/4</f>
        <v>14.84375</v>
      </c>
      <c r="G53" s="32">
        <f>G42*B42/4</f>
        <v>14.84375</v>
      </c>
      <c r="H53" s="32">
        <f>H42*B42/4</f>
        <v>14.84375</v>
      </c>
      <c r="I53" s="32">
        <f>I42*B42/4</f>
        <v>14.84375</v>
      </c>
    </row>
    <row r="54" spans="1:9">
      <c r="A54" s="119" t="s">
        <v>989</v>
      </c>
      <c r="B54" s="156"/>
      <c r="C54" s="156"/>
      <c r="D54" s="32">
        <f>D43*B43/4</f>
        <v>22.03125</v>
      </c>
      <c r="E54" s="32">
        <f>E43*B43/4</f>
        <v>22.03125</v>
      </c>
      <c r="F54" s="32">
        <f>F43*B43/4</f>
        <v>22.03125</v>
      </c>
      <c r="G54" s="32">
        <f>G43*B43/4</f>
        <v>22.03125</v>
      </c>
      <c r="H54" s="32">
        <f>H43*B43/4</f>
        <v>22.03125</v>
      </c>
      <c r="I54" s="32">
        <f>I43*B43/4</f>
        <v>22.03125</v>
      </c>
    </row>
    <row r="55" spans="1:9">
      <c r="A55" s="119" t="s">
        <v>990</v>
      </c>
      <c r="B55" s="156"/>
      <c r="C55" s="156"/>
      <c r="D55" s="32">
        <f>D44*B44/4</f>
        <v>16.5625</v>
      </c>
      <c r="E55" s="32">
        <f>E44*B44/4</f>
        <v>16.5625</v>
      </c>
      <c r="F55" s="32">
        <f>F44*B44/4</f>
        <v>16.5625</v>
      </c>
      <c r="G55" s="32">
        <f>G44*B44/4</f>
        <v>16.5625</v>
      </c>
      <c r="H55" s="32">
        <f>H44*B44/4</f>
        <v>16.5625</v>
      </c>
      <c r="I55" s="32">
        <f>I44*B44/4</f>
        <v>16.5625</v>
      </c>
    </row>
    <row r="56" spans="1:9">
      <c r="A56" s="119" t="s">
        <v>991</v>
      </c>
      <c r="B56" s="156"/>
      <c r="C56" s="156"/>
      <c r="D56" s="32">
        <f>D45*B45/4</f>
        <v>9.625</v>
      </c>
      <c r="E56" s="32">
        <f>E45*B45/4</f>
        <v>6.875</v>
      </c>
      <c r="F56" s="32">
        <f>F45*B45/4</f>
        <v>5.5</v>
      </c>
      <c r="G56" s="32">
        <f>G45*B45/4</f>
        <v>4.125</v>
      </c>
      <c r="H56" s="32">
        <f>H45*B45/4</f>
        <v>2.75</v>
      </c>
      <c r="I56" s="32">
        <f>I45*B45/4</f>
        <v>1.375</v>
      </c>
    </row>
    <row r="57" spans="1:9">
      <c r="A57" s="97" t="s">
        <v>993</v>
      </c>
      <c r="B57" s="156"/>
      <c r="C57" s="156"/>
      <c r="D57" s="54">
        <f>SUM(D48:D56)</f>
        <v>134.59937500000001</v>
      </c>
      <c r="E57" s="54">
        <f>SUM(E48:E56)</f>
        <v>123.14937499999999</v>
      </c>
      <c r="F57" s="54">
        <f>SUM(F48:F56)</f>
        <v>98.46875</v>
      </c>
      <c r="G57" s="54">
        <f>SUM(G48:G56)</f>
        <v>97.09375</v>
      </c>
      <c r="H57" s="54">
        <f>SUM(H48:H56)</f>
        <v>95.71875</v>
      </c>
      <c r="I57" s="54">
        <f>SUM(I48:I56)</f>
        <v>94.34375</v>
      </c>
    </row>
    <row r="58" spans="1:9">
      <c r="A58" s="156"/>
      <c r="B58" s="156"/>
      <c r="C58" s="156"/>
      <c r="D58" s="156"/>
      <c r="E58" s="156"/>
      <c r="F58" s="156"/>
      <c r="G58" s="156"/>
      <c r="H58" s="156"/>
      <c r="I58" s="156"/>
    </row>
    <row r="59" spans="1:9">
      <c r="A59" s="95" t="s">
        <v>994</v>
      </c>
      <c r="B59" s="156"/>
      <c r="C59" s="156"/>
      <c r="D59" s="156"/>
      <c r="E59" s="156"/>
      <c r="F59" s="156"/>
      <c r="G59" s="156"/>
      <c r="H59" s="156"/>
      <c r="I59" s="156"/>
    </row>
    <row r="60" spans="1:9">
      <c r="A60" s="51" t="s">
        <v>995</v>
      </c>
      <c r="B60" s="156"/>
      <c r="C60" s="156"/>
      <c r="D60" s="18">
        <v>30000</v>
      </c>
      <c r="E60" s="18">
        <v>30000</v>
      </c>
      <c r="F60" s="18">
        <v>22000</v>
      </c>
      <c r="G60" s="18">
        <v>20000</v>
      </c>
      <c r="H60" s="18">
        <v>19000</v>
      </c>
      <c r="I60" s="18">
        <v>18000</v>
      </c>
    </row>
    <row r="61" spans="1:9">
      <c r="A61" s="97" t="s">
        <v>996</v>
      </c>
      <c r="B61" s="156"/>
      <c r="C61" s="156"/>
      <c r="D61" s="120">
        <f>D60/ABS(D57)</f>
        <v>222.88365009124297</v>
      </c>
      <c r="E61" s="120">
        <f>E60/ABS(E57)</f>
        <v>243.60659564857721</v>
      </c>
      <c r="F61" s="120">
        <f>F60/ABS(F57)</f>
        <v>223.42113614725483</v>
      </c>
      <c r="G61" s="120">
        <f>G60/ABS(G57)</f>
        <v>205.98648213710976</v>
      </c>
      <c r="H61" s="120">
        <f>H60/ABS(H57)</f>
        <v>198.49820437479596</v>
      </c>
      <c r="I61" s="120">
        <f>I60/ABS(I57)</f>
        <v>190.79165286518716</v>
      </c>
    </row>
    <row r="62" spans="1:9">
      <c r="A62" s="51" t="s">
        <v>997</v>
      </c>
      <c r="B62" s="156"/>
      <c r="C62" s="156"/>
      <c r="D62" s="64">
        <f>D60/(ABS(D57)+500)</f>
        <v>47.273919864796589</v>
      </c>
      <c r="E62" s="64">
        <f>E60/(ABS(E57)+500)</f>
        <v>48.142550090818915</v>
      </c>
      <c r="F62" s="64">
        <f>F60/(ABS(F57)+500)</f>
        <v>36.760482481332566</v>
      </c>
      <c r="G62" s="64">
        <f>G60/(ABS(G57)+500)</f>
        <v>33.495577537028318</v>
      </c>
      <c r="H62" s="64">
        <f>H60/(ABS(H57)+500)</f>
        <v>31.894245396842049</v>
      </c>
      <c r="I62" s="64">
        <f>I60/(ABS(I57)+500)</f>
        <v>30.285503969714497</v>
      </c>
    </row>
    <row r="63" spans="1:9">
      <c r="A63" s="156"/>
      <c r="B63" s="156"/>
      <c r="C63" s="156"/>
      <c r="D63" s="156"/>
      <c r="E63" s="156"/>
      <c r="F63" s="156"/>
      <c r="G63" s="156"/>
      <c r="H63" s="156"/>
      <c r="I63" s="156"/>
    </row>
    <row r="64" spans="1:9">
      <c r="A64" s="95" t="s">
        <v>998</v>
      </c>
      <c r="B64" s="156"/>
      <c r="C64" s="156"/>
      <c r="D64" s="156"/>
      <c r="E64" s="156"/>
      <c r="F64" s="156"/>
      <c r="G64" s="156"/>
      <c r="H64" s="156"/>
      <c r="I64" s="156"/>
    </row>
    <row r="65" spans="1:9">
      <c r="A65" s="38" t="s">
        <v>419</v>
      </c>
      <c r="B65" s="38" t="s">
        <v>999</v>
      </c>
      <c r="C65" s="38" t="s">
        <v>1000</v>
      </c>
      <c r="D65" s="38"/>
      <c r="E65" s="38"/>
      <c r="F65" s="38"/>
      <c r="G65" s="156"/>
      <c r="H65" s="156"/>
      <c r="I65" s="156"/>
    </row>
    <row r="66" spans="1:9">
      <c r="A66" s="51" t="s">
        <v>1001</v>
      </c>
      <c r="B66" s="43" t="s">
        <v>1002</v>
      </c>
      <c r="C66" s="199" t="s">
        <v>1003</v>
      </c>
      <c r="D66" s="204"/>
      <c r="E66" s="204"/>
      <c r="F66" s="205"/>
      <c r="G66" s="156"/>
      <c r="H66" s="156"/>
      <c r="I66" s="156"/>
    </row>
    <row r="67" spans="1:9">
      <c r="A67" s="51" t="s">
        <v>1004</v>
      </c>
      <c r="B67" s="43" t="s">
        <v>1005</v>
      </c>
      <c r="C67" s="199" t="s">
        <v>1006</v>
      </c>
      <c r="D67" s="204"/>
      <c r="E67" s="204"/>
      <c r="F67" s="205"/>
      <c r="G67" s="156"/>
      <c r="H67" s="156"/>
      <c r="I67" s="156"/>
    </row>
    <row r="68" spans="1:9">
      <c r="A68" s="51" t="s">
        <v>1007</v>
      </c>
      <c r="B68" s="43" t="s">
        <v>1008</v>
      </c>
      <c r="C68" s="199" t="s">
        <v>1009</v>
      </c>
      <c r="D68" s="204"/>
      <c r="E68" s="204"/>
      <c r="F68" s="205"/>
      <c r="G68" s="156"/>
      <c r="H68" s="156"/>
      <c r="I68" s="156"/>
    </row>
    <row r="69" spans="1:9">
      <c r="A69" s="51" t="s">
        <v>1010</v>
      </c>
      <c r="B69" s="43" t="s">
        <v>1011</v>
      </c>
      <c r="C69" s="200" t="s">
        <v>1012</v>
      </c>
      <c r="D69" s="204"/>
      <c r="E69" s="204"/>
      <c r="F69" s="205"/>
      <c r="G69" s="156"/>
      <c r="H69" s="156"/>
      <c r="I69" s="156"/>
    </row>
    <row r="70" spans="1:9">
      <c r="A70" s="51" t="s">
        <v>1013</v>
      </c>
      <c r="B70" s="43" t="s">
        <v>1014</v>
      </c>
      <c r="C70" s="199" t="s">
        <v>1015</v>
      </c>
      <c r="D70" s="204"/>
      <c r="E70" s="204"/>
      <c r="F70" s="205"/>
      <c r="G70" s="156"/>
      <c r="H70" s="156"/>
      <c r="I70" s="156"/>
    </row>
    <row r="71" spans="1:9">
      <c r="A71" s="51" t="s">
        <v>1016</v>
      </c>
      <c r="B71" s="43" t="s">
        <v>1017</v>
      </c>
      <c r="C71" s="199" t="s">
        <v>1018</v>
      </c>
      <c r="D71" s="204"/>
      <c r="E71" s="204"/>
      <c r="F71" s="205"/>
      <c r="G71" s="156"/>
      <c r="H71" s="156"/>
      <c r="I71" s="156"/>
    </row>
  </sheetData>
  <mergeCells count="8">
    <mergeCell ref="C71:F71"/>
    <mergeCell ref="C66:F66"/>
    <mergeCell ref="C70:F70"/>
    <mergeCell ref="A33:I33"/>
    <mergeCell ref="C69:F69"/>
    <mergeCell ref="A1:I1"/>
    <mergeCell ref="C68:F68"/>
    <mergeCell ref="C67:F67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235"/>
  </sheetPr>
  <dimension ref="A1:H45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8" width="14" customWidth="1"/>
  </cols>
  <sheetData>
    <row r="1" spans="1:8">
      <c r="A1" s="208" t="s">
        <v>1019</v>
      </c>
      <c r="B1" s="207"/>
      <c r="C1" s="207"/>
      <c r="D1" s="207"/>
      <c r="E1" s="207"/>
      <c r="F1" s="207"/>
      <c r="G1" s="207"/>
      <c r="H1" s="207"/>
    </row>
    <row r="2" spans="1:8">
      <c r="A2" s="1" t="s">
        <v>1020</v>
      </c>
      <c r="B2" s="156"/>
      <c r="C2" s="156"/>
      <c r="D2" s="156"/>
      <c r="E2" s="156"/>
      <c r="F2" s="156"/>
      <c r="G2" s="156"/>
      <c r="H2" s="156"/>
    </row>
    <row r="3" spans="1:8">
      <c r="A3" s="156"/>
      <c r="B3" s="156"/>
      <c r="C3" s="156"/>
      <c r="D3" s="156"/>
      <c r="E3" s="156"/>
      <c r="F3" s="156"/>
      <c r="G3" s="156"/>
      <c r="H3" s="156"/>
    </row>
    <row r="4" spans="1:8">
      <c r="A4" s="6"/>
      <c r="B4" s="6" t="s">
        <v>604</v>
      </c>
      <c r="C4" s="6" t="s">
        <v>606</v>
      </c>
      <c r="D4" s="6" t="s">
        <v>607</v>
      </c>
      <c r="E4" s="6" t="s">
        <v>608</v>
      </c>
      <c r="F4" s="6" t="s">
        <v>180</v>
      </c>
      <c r="G4" s="6" t="s">
        <v>181</v>
      </c>
      <c r="H4" s="6" t="s">
        <v>182</v>
      </c>
    </row>
    <row r="5" spans="1:8">
      <c r="A5" s="156"/>
      <c r="B5" s="156"/>
      <c r="C5" s="156"/>
      <c r="D5" s="156"/>
      <c r="E5" s="156"/>
      <c r="F5" s="156"/>
      <c r="G5" s="156"/>
      <c r="H5" s="156"/>
    </row>
    <row r="6" spans="1:8">
      <c r="A6" s="95" t="s">
        <v>1021</v>
      </c>
      <c r="B6" s="156"/>
      <c r="C6" s="156"/>
      <c r="D6" s="156"/>
      <c r="E6" s="156"/>
      <c r="F6" s="156"/>
      <c r="G6" s="156"/>
      <c r="H6" s="156"/>
    </row>
    <row r="7" spans="1:8">
      <c r="A7" s="51" t="s">
        <v>1022</v>
      </c>
      <c r="B7" s="18">
        <v>1200</v>
      </c>
      <c r="C7" s="18">
        <v>1100</v>
      </c>
      <c r="D7" s="18">
        <v>1000</v>
      </c>
      <c r="E7" s="18">
        <v>900</v>
      </c>
      <c r="F7" s="18">
        <v>850</v>
      </c>
      <c r="G7" s="18">
        <v>900</v>
      </c>
      <c r="H7" s="18">
        <v>950</v>
      </c>
    </row>
    <row r="8" spans="1:8">
      <c r="A8" s="51" t="s">
        <v>1023</v>
      </c>
      <c r="B8" s="18">
        <v>3800</v>
      </c>
      <c r="C8" s="18">
        <v>4000</v>
      </c>
      <c r="D8" s="18">
        <v>3800</v>
      </c>
      <c r="E8" s="18">
        <v>3600</v>
      </c>
      <c r="F8" s="18">
        <v>3500</v>
      </c>
      <c r="G8" s="18">
        <v>3600</v>
      </c>
      <c r="H8" s="18">
        <v>3800</v>
      </c>
    </row>
    <row r="9" spans="1:8">
      <c r="A9" s="51" t="s">
        <v>1024</v>
      </c>
      <c r="B9" s="18">
        <v>3200</v>
      </c>
      <c r="C9" s="18">
        <v>3700</v>
      </c>
      <c r="D9" s="18">
        <v>3700</v>
      </c>
      <c r="E9" s="18">
        <v>3700</v>
      </c>
      <c r="F9" s="18">
        <v>3650</v>
      </c>
      <c r="G9" s="18">
        <v>4000</v>
      </c>
      <c r="H9" s="18">
        <v>4250</v>
      </c>
    </row>
    <row r="10" spans="1:8">
      <c r="A10" s="50" t="s">
        <v>1025</v>
      </c>
      <c r="B10" s="35">
        <f>SUM(B7:B9)</f>
        <v>8200</v>
      </c>
      <c r="C10" s="35">
        <f>SUM(C7:C9)</f>
        <v>8800</v>
      </c>
      <c r="D10" s="35">
        <f>SUM(D7:D9)</f>
        <v>8500</v>
      </c>
      <c r="E10" s="35">
        <f>SUM(E7:E9)</f>
        <v>8200</v>
      </c>
      <c r="F10" s="35">
        <f>SUM(F7:F9)</f>
        <v>8000</v>
      </c>
      <c r="G10" s="35">
        <f>SUM(G7:G9)</f>
        <v>8500</v>
      </c>
      <c r="H10" s="35">
        <f>SUM(H7:H9)</f>
        <v>9000</v>
      </c>
    </row>
    <row r="11" spans="1:8">
      <c r="A11" s="156"/>
      <c r="B11" s="156"/>
      <c r="C11" s="156"/>
      <c r="D11" s="156"/>
      <c r="E11" s="156"/>
      <c r="F11" s="156"/>
      <c r="G11" s="156"/>
      <c r="H11" s="156"/>
    </row>
    <row r="12" spans="1:8">
      <c r="A12" s="95" t="s">
        <v>1026</v>
      </c>
      <c r="B12" s="156"/>
      <c r="C12" s="156"/>
      <c r="D12" s="156"/>
      <c r="E12" s="156"/>
      <c r="F12" s="156"/>
      <c r="G12" s="156"/>
      <c r="H12" s="156"/>
    </row>
    <row r="13" spans="1:8">
      <c r="A13" s="51" t="s">
        <v>1027</v>
      </c>
      <c r="B13" s="18">
        <v>4911</v>
      </c>
      <c r="C13" s="18">
        <v>6136</v>
      </c>
      <c r="D13" s="18">
        <v>5892</v>
      </c>
      <c r="E13" s="18">
        <v>6084</v>
      </c>
      <c r="F13" s="18">
        <v>6365</v>
      </c>
      <c r="G13" s="18">
        <v>7700</v>
      </c>
      <c r="H13" s="18">
        <v>8400</v>
      </c>
    </row>
    <row r="14" spans="1:8">
      <c r="A14" s="97" t="s">
        <v>1028</v>
      </c>
      <c r="B14" s="103">
        <f>B10/(B13/90)</f>
        <v>150.27489309712888</v>
      </c>
      <c r="C14" s="103">
        <f>C10/(C13/90)</f>
        <v>129.07431551499349</v>
      </c>
      <c r="D14" s="103">
        <f>D10/(D13/90)</f>
        <v>129.83706720977597</v>
      </c>
      <c r="E14" s="103">
        <f>E10/(E13/90)</f>
        <v>121.30177514792901</v>
      </c>
      <c r="F14" s="103">
        <f>F10/(F13/90)</f>
        <v>113.11861743912017</v>
      </c>
      <c r="G14" s="103">
        <f>G10/(G13/90)</f>
        <v>99.350649350649348</v>
      </c>
      <c r="H14" s="103">
        <f>H10/(H13/90)</f>
        <v>96.428571428571431</v>
      </c>
    </row>
    <row r="15" spans="1:8">
      <c r="A15" s="51" t="s">
        <v>1029</v>
      </c>
      <c r="B15" s="66" t="s">
        <v>1030</v>
      </c>
      <c r="C15" s="66" t="s">
        <v>1031</v>
      </c>
      <c r="D15" s="66" t="s">
        <v>1032</v>
      </c>
      <c r="E15" s="104" t="s">
        <v>1033</v>
      </c>
      <c r="F15" s="66" t="s">
        <v>1032</v>
      </c>
      <c r="G15" s="66" t="s">
        <v>1034</v>
      </c>
      <c r="H15" s="66" t="s">
        <v>1035</v>
      </c>
    </row>
    <row r="16" spans="1:8">
      <c r="A16" s="156"/>
      <c r="B16" s="156"/>
      <c r="C16" s="156"/>
      <c r="D16" s="156"/>
      <c r="E16" s="156"/>
      <c r="F16" s="156"/>
      <c r="G16" s="156"/>
      <c r="H16" s="156"/>
    </row>
    <row r="17" spans="1:8">
      <c r="A17" s="95" t="s">
        <v>1036</v>
      </c>
      <c r="B17" s="156"/>
      <c r="C17" s="156"/>
      <c r="D17" s="156"/>
      <c r="E17" s="156"/>
      <c r="F17" s="156"/>
      <c r="G17" s="156"/>
      <c r="H17" s="156"/>
    </row>
    <row r="18" spans="1:8">
      <c r="A18" s="51" t="s">
        <v>1037</v>
      </c>
      <c r="B18" s="18">
        <v>4500</v>
      </c>
      <c r="C18" s="18">
        <v>5500</v>
      </c>
      <c r="D18" s="18">
        <v>6500</v>
      </c>
      <c r="E18" s="18">
        <v>10000</v>
      </c>
      <c r="F18" s="18">
        <v>13000</v>
      </c>
      <c r="G18" s="18">
        <v>14000</v>
      </c>
      <c r="H18" s="18">
        <v>12000</v>
      </c>
    </row>
    <row r="19" spans="1:8">
      <c r="A19" s="51" t="s">
        <v>1038</v>
      </c>
      <c r="B19" s="105">
        <f>B18/(B13+B18)/90*90</f>
        <v>0.47816385081287854</v>
      </c>
      <c r="C19" s="105">
        <f>C18/(C13+C18)/90*90</f>
        <v>0.47267102096940528</v>
      </c>
      <c r="D19" s="105">
        <f>D18/(D13+D18)/90*90</f>
        <v>0.52453195610071013</v>
      </c>
      <c r="E19" s="105">
        <f>E18/(E13+E18)/90*90</f>
        <v>0.62173588659537427</v>
      </c>
      <c r="F19" s="105">
        <f>F18/(F13+F18)/90*90</f>
        <v>0.6713142266976504</v>
      </c>
      <c r="G19" s="105">
        <f>G18/(G13+G18)/90*90</f>
        <v>0.64516129032258063</v>
      </c>
      <c r="H19" s="105">
        <f>H18/(H13+H18)/90*90</f>
        <v>0.58823529411764708</v>
      </c>
    </row>
    <row r="20" spans="1:8">
      <c r="A20" s="51" t="s">
        <v>1039</v>
      </c>
      <c r="B20" s="18">
        <v>2800</v>
      </c>
      <c r="C20" s="18">
        <v>3200</v>
      </c>
      <c r="D20" s="18">
        <v>3500</v>
      </c>
      <c r="E20" s="18">
        <v>4500</v>
      </c>
      <c r="F20" s="18">
        <v>5500</v>
      </c>
      <c r="G20" s="18">
        <v>6000</v>
      </c>
      <c r="H20" s="18">
        <v>5500</v>
      </c>
    </row>
    <row r="21" spans="1:8">
      <c r="A21" s="156"/>
      <c r="B21" s="156"/>
      <c r="C21" s="156"/>
      <c r="D21" s="156"/>
      <c r="E21" s="156"/>
      <c r="F21" s="156"/>
      <c r="G21" s="156"/>
      <c r="H21" s="156"/>
    </row>
    <row r="22" spans="1:8">
      <c r="A22" s="50" t="s">
        <v>1040</v>
      </c>
      <c r="B22" s="35">
        <f>B10+B18-B20</f>
        <v>9900</v>
      </c>
      <c r="C22" s="35">
        <f>C10+C18-C20</f>
        <v>11100</v>
      </c>
      <c r="D22" s="35">
        <f>D10+D18-D20</f>
        <v>11500</v>
      </c>
      <c r="E22" s="35">
        <f>E10+E18-E20</f>
        <v>13700</v>
      </c>
      <c r="F22" s="35">
        <f>F10+F18-F20</f>
        <v>15500</v>
      </c>
      <c r="G22" s="35">
        <f>G10+G18-G20</f>
        <v>16500</v>
      </c>
      <c r="H22" s="35">
        <f>H10+H18-H20</f>
        <v>15500</v>
      </c>
    </row>
    <row r="23" spans="1:8">
      <c r="A23" s="51" t="s">
        <v>1041</v>
      </c>
      <c r="B23" s="156"/>
      <c r="C23" s="32">
        <f>C22-B22</f>
        <v>1200</v>
      </c>
      <c r="D23" s="32">
        <f>D22-C22</f>
        <v>400</v>
      </c>
      <c r="E23" s="32">
        <f>E22-D22</f>
        <v>2200</v>
      </c>
      <c r="F23" s="32">
        <f>F22-E22</f>
        <v>1800</v>
      </c>
      <c r="G23" s="32">
        <f>G22-F22</f>
        <v>1000</v>
      </c>
      <c r="H23" s="32">
        <f>H22-G22</f>
        <v>-1000</v>
      </c>
    </row>
    <row r="24" spans="1:8">
      <c r="A24" s="156"/>
      <c r="B24" s="156"/>
      <c r="C24" s="156"/>
      <c r="D24" s="156"/>
      <c r="E24" s="156"/>
      <c r="F24" s="156"/>
      <c r="G24" s="156"/>
      <c r="H24" s="156"/>
    </row>
    <row r="25" spans="1:8">
      <c r="A25" s="191" t="s">
        <v>1042</v>
      </c>
      <c r="B25" s="207"/>
      <c r="C25" s="207"/>
      <c r="D25" s="207"/>
      <c r="E25" s="207"/>
      <c r="F25" s="207"/>
      <c r="G25" s="207"/>
      <c r="H25" s="207"/>
    </row>
    <row r="26" spans="1:8">
      <c r="A26" s="156"/>
      <c r="B26" s="156"/>
      <c r="C26" s="156"/>
      <c r="D26" s="156"/>
      <c r="E26" s="156"/>
      <c r="F26" s="156"/>
      <c r="G26" s="156"/>
      <c r="H26" s="156"/>
    </row>
    <row r="27" spans="1:8">
      <c r="A27" s="95" t="s">
        <v>1043</v>
      </c>
      <c r="B27" s="156"/>
      <c r="C27" s="156"/>
      <c r="D27" s="156"/>
      <c r="E27" s="156"/>
      <c r="F27" s="156"/>
      <c r="G27" s="156"/>
      <c r="H27" s="156"/>
    </row>
    <row r="28" spans="1:8">
      <c r="A28" s="38"/>
      <c r="B28" s="38" t="s">
        <v>604</v>
      </c>
      <c r="C28" s="38" t="s">
        <v>606</v>
      </c>
      <c r="D28" s="38" t="s">
        <v>607</v>
      </c>
      <c r="E28" s="38" t="s">
        <v>608</v>
      </c>
      <c r="F28" s="38" t="s">
        <v>180</v>
      </c>
      <c r="G28" s="38" t="s">
        <v>181</v>
      </c>
      <c r="H28" s="38" t="s">
        <v>182</v>
      </c>
    </row>
    <row r="29" spans="1:8">
      <c r="A29" s="51" t="s">
        <v>1044</v>
      </c>
      <c r="B29" s="105">
        <f>B14</f>
        <v>150.27489309712888</v>
      </c>
      <c r="C29" s="105">
        <f>C14</f>
        <v>129.07431551499349</v>
      </c>
      <c r="D29" s="105">
        <f>D14</f>
        <v>129.83706720977597</v>
      </c>
      <c r="E29" s="105">
        <f>E14</f>
        <v>121.30177514792901</v>
      </c>
      <c r="F29" s="105">
        <f>F14</f>
        <v>113.11861743912017</v>
      </c>
      <c r="G29" s="105">
        <f>G14</f>
        <v>99.350649350649348</v>
      </c>
      <c r="H29" s="105">
        <f>H14</f>
        <v>96.428571428571431</v>
      </c>
    </row>
    <row r="30" spans="1:8">
      <c r="A30" s="51" t="s">
        <v>1045</v>
      </c>
      <c r="B30" s="121">
        <v>50</v>
      </c>
      <c r="C30" s="121">
        <v>44</v>
      </c>
      <c r="D30" s="121">
        <v>43</v>
      </c>
      <c r="E30" s="121">
        <v>38</v>
      </c>
      <c r="F30" s="121">
        <v>35</v>
      </c>
      <c r="G30" s="121">
        <v>36</v>
      </c>
      <c r="H30" s="121">
        <v>38</v>
      </c>
    </row>
    <row r="31" spans="1:8">
      <c r="A31" s="51" t="s">
        <v>1046</v>
      </c>
      <c r="B31" s="121">
        <v>52</v>
      </c>
      <c r="C31" s="121">
        <v>48</v>
      </c>
      <c r="D31" s="121">
        <v>50</v>
      </c>
      <c r="E31" s="121">
        <v>55</v>
      </c>
      <c r="F31" s="121">
        <v>58</v>
      </c>
      <c r="G31" s="121">
        <v>55</v>
      </c>
      <c r="H31" s="121">
        <v>52</v>
      </c>
    </row>
    <row r="32" spans="1:8">
      <c r="A32" s="97" t="s">
        <v>1047</v>
      </c>
      <c r="B32" s="122">
        <f>B29+B30-B31</f>
        <v>148.27489309712888</v>
      </c>
      <c r="C32" s="122">
        <f>C29+C30-C31</f>
        <v>125.07431551499349</v>
      </c>
      <c r="D32" s="122">
        <f>D29+D30-D31</f>
        <v>122.83706720977597</v>
      </c>
      <c r="E32" s="122">
        <f>E29+E30-E31</f>
        <v>104.30177514792899</v>
      </c>
      <c r="F32" s="122">
        <f>F29+F30-F31</f>
        <v>90.118617439120158</v>
      </c>
      <c r="G32" s="122">
        <f>G29+G30-G31</f>
        <v>80.350649350649348</v>
      </c>
      <c r="H32" s="122">
        <f>H29+H30-H31</f>
        <v>82.428571428571445</v>
      </c>
    </row>
    <row r="33" spans="1:8">
      <c r="A33" s="156"/>
      <c r="B33" s="156"/>
      <c r="C33" s="156"/>
      <c r="D33" s="156"/>
      <c r="E33" s="156"/>
      <c r="F33" s="156"/>
      <c r="G33" s="156"/>
      <c r="H33" s="156"/>
    </row>
    <row r="34" spans="1:8">
      <c r="A34" s="95" t="s">
        <v>1048</v>
      </c>
      <c r="B34" s="156"/>
      <c r="C34" s="156"/>
      <c r="D34" s="156"/>
      <c r="E34" s="156"/>
      <c r="F34" s="156"/>
      <c r="G34" s="156"/>
      <c r="H34" s="156"/>
    </row>
    <row r="35" spans="1:8">
      <c r="A35" s="38" t="s">
        <v>1049</v>
      </c>
      <c r="B35" s="38" t="s">
        <v>1050</v>
      </c>
      <c r="C35" s="38" t="s">
        <v>1051</v>
      </c>
      <c r="D35" s="38" t="s">
        <v>1052</v>
      </c>
      <c r="E35" s="38" t="s">
        <v>1053</v>
      </c>
      <c r="F35" s="38"/>
      <c r="G35" s="38"/>
      <c r="H35" s="38"/>
    </row>
    <row r="36" spans="1:8">
      <c r="A36" s="71" t="s">
        <v>1054</v>
      </c>
      <c r="B36" s="123" t="s">
        <v>1055</v>
      </c>
      <c r="C36" s="123" t="s">
        <v>1056</v>
      </c>
      <c r="D36" s="123" t="s">
        <v>1057</v>
      </c>
      <c r="E36" s="123" t="s">
        <v>1058</v>
      </c>
      <c r="F36" s="156"/>
      <c r="G36" s="156"/>
      <c r="H36" s="156"/>
    </row>
    <row r="37" spans="1:8">
      <c r="A37" s="124" t="s">
        <v>1059</v>
      </c>
      <c r="B37" s="88" t="s">
        <v>1060</v>
      </c>
      <c r="C37" s="88" t="s">
        <v>1061</v>
      </c>
      <c r="D37" s="88" t="s">
        <v>1062</v>
      </c>
      <c r="E37" s="88" t="s">
        <v>1063</v>
      </c>
      <c r="F37" s="156"/>
      <c r="G37" s="156"/>
      <c r="H37" s="156"/>
    </row>
    <row r="38" spans="1:8">
      <c r="A38" s="125" t="s">
        <v>1064</v>
      </c>
      <c r="B38" s="87" t="s">
        <v>1065</v>
      </c>
      <c r="C38" s="87" t="s">
        <v>1066</v>
      </c>
      <c r="D38" s="87" t="s">
        <v>1067</v>
      </c>
      <c r="E38" s="87" t="s">
        <v>1068</v>
      </c>
      <c r="F38" s="156"/>
      <c r="G38" s="156"/>
      <c r="H38" s="156"/>
    </row>
    <row r="39" spans="1:8">
      <c r="A39" s="125" t="s">
        <v>1069</v>
      </c>
      <c r="B39" s="87" t="s">
        <v>1070</v>
      </c>
      <c r="C39" s="87" t="s">
        <v>1071</v>
      </c>
      <c r="D39" s="87" t="s">
        <v>1072</v>
      </c>
      <c r="E39" s="87" t="s">
        <v>1073</v>
      </c>
      <c r="F39" s="156"/>
      <c r="G39" s="156"/>
      <c r="H39" s="156"/>
    </row>
    <row r="40" spans="1:8">
      <c r="A40" s="124" t="s">
        <v>1074</v>
      </c>
      <c r="B40" s="88" t="s">
        <v>1075</v>
      </c>
      <c r="C40" s="88" t="s">
        <v>1076</v>
      </c>
      <c r="D40" s="88" t="s">
        <v>1077</v>
      </c>
      <c r="E40" s="88" t="s">
        <v>1078</v>
      </c>
      <c r="F40" s="156"/>
      <c r="G40" s="156"/>
      <c r="H40" s="156"/>
    </row>
    <row r="41" spans="1:8">
      <c r="A41" s="156"/>
      <c r="B41" s="156"/>
      <c r="C41" s="156"/>
      <c r="D41" s="156"/>
      <c r="E41" s="156"/>
      <c r="F41" s="156"/>
      <c r="G41" s="156"/>
      <c r="H41" s="156"/>
    </row>
    <row r="42" spans="1:8">
      <c r="A42" s="95" t="s">
        <v>1079</v>
      </c>
      <c r="B42" s="156"/>
      <c r="C42" s="156"/>
      <c r="D42" s="156"/>
      <c r="E42" s="156"/>
      <c r="F42" s="156"/>
      <c r="G42" s="156"/>
      <c r="H42" s="156"/>
    </row>
    <row r="43" spans="1:8">
      <c r="A43" s="51" t="s">
        <v>1080</v>
      </c>
      <c r="B43" s="18">
        <v>8050</v>
      </c>
      <c r="C43" s="18">
        <v>11300</v>
      </c>
      <c r="D43" s="18">
        <v>13640</v>
      </c>
      <c r="E43" s="18">
        <v>23860</v>
      </c>
      <c r="F43" s="18">
        <v>33500</v>
      </c>
      <c r="G43" s="18">
        <v>35000</v>
      </c>
      <c r="H43" s="18">
        <v>30000</v>
      </c>
    </row>
    <row r="44" spans="1:8">
      <c r="A44" s="51" t="s">
        <v>1081</v>
      </c>
      <c r="B44" s="25">
        <f>B22/B43</f>
        <v>1.2298136645962734</v>
      </c>
      <c r="C44" s="25">
        <f>C22/C43</f>
        <v>0.98230088495575218</v>
      </c>
      <c r="D44" s="25">
        <f>D22/D43</f>
        <v>0.84310850439882701</v>
      </c>
      <c r="E44" s="25">
        <f>E22/E43</f>
        <v>0.57418273260687347</v>
      </c>
      <c r="F44" s="25">
        <f>F22/F43</f>
        <v>0.46268656716417911</v>
      </c>
      <c r="G44" s="25">
        <f>G22/G43</f>
        <v>0.47142857142857142</v>
      </c>
      <c r="H44" s="25">
        <f>H22/H43</f>
        <v>0.51666666666666672</v>
      </c>
    </row>
    <row r="45" spans="1:8">
      <c r="A45" s="51" t="s">
        <v>1082</v>
      </c>
      <c r="B45" s="25">
        <f>B22/(B43*4)</f>
        <v>0.30745341614906835</v>
      </c>
      <c r="C45" s="25">
        <f>C22/(C43*4)</f>
        <v>0.24557522123893805</v>
      </c>
      <c r="D45" s="25">
        <f>D22/(D43*4)</f>
        <v>0.21077712609970675</v>
      </c>
      <c r="E45" s="25">
        <f>E22/(E43*4)</f>
        <v>0.14354568315171837</v>
      </c>
      <c r="F45" s="25">
        <f>F22/(F43*4)</f>
        <v>0.11567164179104478</v>
      </c>
      <c r="G45" s="25">
        <f>G22/(G43*4)</f>
        <v>0.11785714285714285</v>
      </c>
      <c r="H45" s="25">
        <f>H22/(H43*4)</f>
        <v>0.12916666666666668</v>
      </c>
    </row>
  </sheetData>
  <mergeCells count="2">
    <mergeCell ref="A25:H25"/>
    <mergeCell ref="A1:H1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48235"/>
  </sheetPr>
  <dimension ref="A1:I44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2" customWidth="1"/>
    <col min="2" max="9" width="14" customWidth="1"/>
  </cols>
  <sheetData>
    <row r="1" spans="1:9">
      <c r="A1" s="208" t="s">
        <v>1083</v>
      </c>
      <c r="B1" s="207"/>
      <c r="C1" s="207"/>
      <c r="D1" s="207"/>
      <c r="E1" s="207"/>
      <c r="F1" s="207"/>
      <c r="G1" s="207"/>
      <c r="H1" s="207"/>
      <c r="I1" s="207"/>
    </row>
    <row r="2" spans="1:9">
      <c r="A2" s="1" t="s">
        <v>1084</v>
      </c>
      <c r="B2" s="156"/>
      <c r="C2" s="156"/>
      <c r="D2" s="156"/>
      <c r="E2" s="156"/>
      <c r="F2" s="156"/>
      <c r="G2" s="156"/>
      <c r="H2" s="156"/>
      <c r="I2" s="156"/>
    </row>
    <row r="3" spans="1:9">
      <c r="A3" s="94" t="s">
        <v>1085</v>
      </c>
      <c r="B3" s="156"/>
      <c r="C3" s="156"/>
      <c r="D3" s="156"/>
      <c r="E3" s="156"/>
      <c r="F3" s="156"/>
      <c r="G3" s="156"/>
      <c r="H3" s="156"/>
      <c r="I3" s="156"/>
    </row>
    <row r="4" spans="1:9">
      <c r="A4" s="6"/>
      <c r="B4" s="6" t="s">
        <v>607</v>
      </c>
      <c r="C4" s="6" t="s">
        <v>608</v>
      </c>
      <c r="D4" s="6" t="s">
        <v>180</v>
      </c>
      <c r="E4" s="6" t="s">
        <v>181</v>
      </c>
      <c r="F4" s="6" t="s">
        <v>182</v>
      </c>
      <c r="G4" s="6" t="s">
        <v>183</v>
      </c>
      <c r="H4" s="6" t="s">
        <v>184</v>
      </c>
      <c r="I4" s="6" t="s">
        <v>185</v>
      </c>
    </row>
    <row r="5" spans="1:9">
      <c r="A5" s="156"/>
      <c r="B5" s="156"/>
      <c r="C5" s="156"/>
      <c r="D5" s="156"/>
      <c r="E5" s="156"/>
      <c r="F5" s="156"/>
      <c r="G5" s="156"/>
      <c r="H5" s="156"/>
      <c r="I5" s="156"/>
    </row>
    <row r="6" spans="1:9">
      <c r="A6" s="50" t="s">
        <v>1086</v>
      </c>
      <c r="B6" s="18">
        <v>1105</v>
      </c>
      <c r="C6" s="18">
        <v>1108</v>
      </c>
      <c r="D6" s="32">
        <f>C6+D8-D9</f>
        <v>1116.9000000000001</v>
      </c>
      <c r="E6" s="32">
        <f>D6+E8-E9</f>
        <v>1125.8000000000002</v>
      </c>
      <c r="F6" s="32">
        <f>E6+F8-F9</f>
        <v>1137.6000000000001</v>
      </c>
      <c r="G6" s="32">
        <f>F6+G8-G9</f>
        <v>1151.9000000000001</v>
      </c>
      <c r="H6" s="32">
        <f>G6+H8-H9</f>
        <v>1167.4000000000001</v>
      </c>
      <c r="I6" s="32">
        <f>H6+I8-I9</f>
        <v>1182.9000000000001</v>
      </c>
    </row>
    <row r="7" spans="1:9">
      <c r="A7" s="51" t="s">
        <v>1087</v>
      </c>
      <c r="B7" s="18">
        <v>5</v>
      </c>
      <c r="C7" s="18">
        <v>5</v>
      </c>
      <c r="D7" s="18">
        <v>5</v>
      </c>
      <c r="E7" s="18">
        <v>5</v>
      </c>
      <c r="F7" s="18">
        <v>5</v>
      </c>
      <c r="G7" s="18">
        <v>5</v>
      </c>
      <c r="H7" s="18">
        <v>5</v>
      </c>
      <c r="I7" s="18">
        <v>5</v>
      </c>
    </row>
    <row r="8" spans="1:9">
      <c r="A8" s="51" t="s">
        <v>1088</v>
      </c>
      <c r="B8" s="18">
        <v>8</v>
      </c>
      <c r="C8" s="18">
        <v>8</v>
      </c>
      <c r="D8" s="18">
        <v>8</v>
      </c>
      <c r="E8" s="18">
        <v>8</v>
      </c>
      <c r="F8" s="18">
        <v>8</v>
      </c>
      <c r="G8" s="18">
        <v>8</v>
      </c>
      <c r="H8" s="18">
        <v>8</v>
      </c>
      <c r="I8" s="18">
        <v>8</v>
      </c>
    </row>
    <row r="9" spans="1:9">
      <c r="A9" s="51" t="s">
        <v>1089</v>
      </c>
      <c r="B9" s="98">
        <v>-1.1000000000000001</v>
      </c>
      <c r="C9" s="98">
        <v>-1</v>
      </c>
      <c r="D9" s="98">
        <v>-0.9</v>
      </c>
      <c r="E9" s="98">
        <v>-0.9</v>
      </c>
      <c r="F9" s="140">
        <v>-3.8</v>
      </c>
      <c r="G9" s="140">
        <v>-6.3</v>
      </c>
      <c r="H9" s="140">
        <v>-7.5</v>
      </c>
      <c r="I9" s="140">
        <v>-7.5</v>
      </c>
    </row>
    <row r="10" spans="1:9">
      <c r="A10" s="156"/>
      <c r="B10" s="156"/>
      <c r="C10" s="156"/>
      <c r="D10" s="156"/>
      <c r="E10" s="156"/>
      <c r="F10" s="156"/>
      <c r="G10" s="156"/>
      <c r="H10" s="156"/>
      <c r="I10" s="156"/>
    </row>
    <row r="11" spans="1:9">
      <c r="A11" s="97" t="s">
        <v>207</v>
      </c>
      <c r="B11" s="106">
        <v>1140</v>
      </c>
      <c r="C11" s="106">
        <v>1142</v>
      </c>
      <c r="D11" s="106">
        <f>D6+35</f>
        <v>1151.9000000000001</v>
      </c>
      <c r="E11" s="106">
        <f>E6+35</f>
        <v>1160.8000000000002</v>
      </c>
      <c r="F11" s="106">
        <f>F6+35</f>
        <v>1172.6000000000001</v>
      </c>
      <c r="G11" s="106">
        <f>G6+35</f>
        <v>1186.9000000000001</v>
      </c>
      <c r="H11" s="106">
        <f>H6+35</f>
        <v>1202.4000000000001</v>
      </c>
      <c r="I11" s="106">
        <f>I6+35</f>
        <v>1217.9000000000001</v>
      </c>
    </row>
    <row r="12" spans="1:9">
      <c r="A12" s="156"/>
      <c r="B12" s="156"/>
      <c r="C12" s="156"/>
      <c r="D12" s="156"/>
      <c r="E12" s="156"/>
      <c r="F12" s="156"/>
      <c r="G12" s="156"/>
      <c r="H12" s="156"/>
      <c r="I12" s="156"/>
    </row>
    <row r="13" spans="1:9">
      <c r="A13" s="50" t="s">
        <v>1090</v>
      </c>
      <c r="B13" s="59">
        <f>Assumptions!F26</f>
        <v>1138</v>
      </c>
      <c r="C13" s="59">
        <f>Assumptions!G26</f>
        <v>1142</v>
      </c>
      <c r="D13" s="59">
        <f>Assumptions!H26</f>
        <v>1145</v>
      </c>
      <c r="E13" s="59">
        <f>Assumptions!I26</f>
        <v>1148</v>
      </c>
      <c r="F13" s="59">
        <f>Assumptions!J26</f>
        <v>1140</v>
      </c>
      <c r="G13" s="59">
        <f>Assumptions!K26</f>
        <v>1130</v>
      </c>
      <c r="H13" s="59">
        <f>Assumptions!L26</f>
        <v>1118</v>
      </c>
      <c r="I13" s="59">
        <f>Assumptions!M26</f>
        <v>1105</v>
      </c>
    </row>
    <row r="14" spans="1:9">
      <c r="A14" s="51" t="s">
        <v>1091</v>
      </c>
      <c r="B14" s="32">
        <f>B11-B13</f>
        <v>2</v>
      </c>
      <c r="C14" s="32">
        <f>C11-C13</f>
        <v>0</v>
      </c>
      <c r="D14" s="32">
        <f>D11-D13</f>
        <v>6.9000000000000909</v>
      </c>
      <c r="E14" s="32">
        <f>E11-E13</f>
        <v>12.800000000000182</v>
      </c>
      <c r="F14" s="32">
        <f>F11-F13</f>
        <v>32.600000000000136</v>
      </c>
      <c r="G14" s="32">
        <f>G11-G13</f>
        <v>56.900000000000091</v>
      </c>
      <c r="H14" s="32">
        <f>H11-H13</f>
        <v>84.400000000000091</v>
      </c>
      <c r="I14" s="32">
        <f>I11-I13</f>
        <v>112.90000000000009</v>
      </c>
    </row>
    <row r="15" spans="1:9">
      <c r="A15" s="156"/>
      <c r="B15" s="156"/>
      <c r="C15" s="156"/>
      <c r="D15" s="156"/>
      <c r="E15" s="156"/>
      <c r="F15" s="156"/>
      <c r="G15" s="156"/>
      <c r="H15" s="156"/>
      <c r="I15" s="156"/>
    </row>
    <row r="16" spans="1:9">
      <c r="A16" s="95" t="s">
        <v>1092</v>
      </c>
      <c r="B16" s="156"/>
      <c r="C16" s="156"/>
      <c r="D16" s="156"/>
      <c r="E16" s="156"/>
      <c r="F16" s="156"/>
      <c r="G16" s="156"/>
      <c r="H16" s="156"/>
      <c r="I16" s="156"/>
    </row>
    <row r="17" spans="1:9">
      <c r="A17" s="51" t="s">
        <v>1093</v>
      </c>
      <c r="B17" s="18">
        <v>35</v>
      </c>
      <c r="C17" s="18">
        <v>30</v>
      </c>
      <c r="D17" s="156"/>
      <c r="E17" s="156"/>
      <c r="F17" s="156"/>
      <c r="G17" s="156"/>
      <c r="H17" s="156"/>
      <c r="I17" s="156"/>
    </row>
    <row r="18" spans="1:9">
      <c r="A18" s="51" t="s">
        <v>1094</v>
      </c>
      <c r="B18" s="18">
        <v>-25</v>
      </c>
      <c r="C18" s="18">
        <v>-39</v>
      </c>
      <c r="D18" s="156"/>
      <c r="E18" s="156"/>
      <c r="F18" s="156"/>
      <c r="G18" s="156"/>
      <c r="H18" s="156"/>
      <c r="I18" s="156"/>
    </row>
    <row r="19" spans="1:9">
      <c r="A19" s="51" t="s">
        <v>1095</v>
      </c>
      <c r="B19" s="63">
        <v>-0.65</v>
      </c>
      <c r="C19" s="63">
        <v>-0.8</v>
      </c>
      <c r="D19" s="156"/>
      <c r="E19" s="156"/>
      <c r="F19" s="156"/>
      <c r="G19" s="156"/>
      <c r="H19" s="156"/>
      <c r="I19" s="156"/>
    </row>
    <row r="20" spans="1:9">
      <c r="A20" s="51" t="s">
        <v>1096</v>
      </c>
      <c r="B20" s="63">
        <v>-2</v>
      </c>
      <c r="C20" s="63">
        <v>-1</v>
      </c>
      <c r="D20" s="156"/>
      <c r="E20" s="156"/>
      <c r="F20" s="156"/>
      <c r="G20" s="156"/>
      <c r="H20" s="156"/>
      <c r="I20" s="156"/>
    </row>
    <row r="21" spans="1:9">
      <c r="A21" s="97" t="s">
        <v>1097</v>
      </c>
      <c r="B21" s="46">
        <f>(B17+B18)*-1+B17+B19+B20+B17</f>
        <v>57.35</v>
      </c>
      <c r="C21" s="46">
        <f>(C17+C18)*-1+C17+C19+C20+C17</f>
        <v>67.2</v>
      </c>
      <c r="D21" s="156"/>
      <c r="E21" s="156"/>
      <c r="F21" s="156"/>
      <c r="G21" s="156"/>
      <c r="H21" s="156"/>
      <c r="I21" s="156"/>
    </row>
    <row r="22" spans="1:9">
      <c r="A22" s="51" t="s">
        <v>1098</v>
      </c>
      <c r="B22" s="66" t="s">
        <v>1099</v>
      </c>
      <c r="C22" s="66" t="s">
        <v>1100</v>
      </c>
      <c r="D22" s="156"/>
      <c r="E22" s="156"/>
      <c r="F22" s="156"/>
      <c r="G22" s="156"/>
      <c r="H22" s="156"/>
      <c r="I22" s="156"/>
    </row>
    <row r="23" spans="1:9">
      <c r="A23" s="156"/>
      <c r="B23" s="156"/>
      <c r="C23" s="156"/>
      <c r="D23" s="156"/>
      <c r="E23" s="156"/>
      <c r="F23" s="156"/>
      <c r="G23" s="156"/>
      <c r="H23" s="156"/>
      <c r="I23" s="156"/>
    </row>
    <row r="24" spans="1:9" ht="39.950000000000003" customHeight="1">
      <c r="A24" s="191" t="s">
        <v>1101</v>
      </c>
      <c r="B24" s="207"/>
      <c r="C24" s="207"/>
      <c r="D24" s="207"/>
      <c r="E24" s="207"/>
      <c r="F24" s="207"/>
      <c r="G24" s="207"/>
      <c r="H24" s="207"/>
      <c r="I24" s="207"/>
    </row>
    <row r="25" spans="1:9">
      <c r="A25" s="156"/>
      <c r="B25" s="156"/>
      <c r="C25" s="156"/>
      <c r="D25" s="156"/>
      <c r="E25" s="156"/>
      <c r="F25" s="156"/>
      <c r="G25" s="156"/>
      <c r="H25" s="156"/>
      <c r="I25" s="156"/>
    </row>
    <row r="26" spans="1:9">
      <c r="A26" s="95" t="s">
        <v>1102</v>
      </c>
      <c r="B26" s="156"/>
      <c r="C26" s="156"/>
      <c r="D26" s="156"/>
      <c r="E26" s="156"/>
      <c r="F26" s="156"/>
      <c r="G26" s="156"/>
      <c r="H26" s="156"/>
      <c r="I26" s="156"/>
    </row>
    <row r="27" spans="1:9">
      <c r="A27" s="38" t="s">
        <v>1103</v>
      </c>
      <c r="B27" s="38" t="s">
        <v>1104</v>
      </c>
      <c r="C27" s="38" t="s">
        <v>1105</v>
      </c>
      <c r="D27" s="38" t="s">
        <v>1106</v>
      </c>
      <c r="E27" s="38" t="s">
        <v>1107</v>
      </c>
      <c r="F27" s="38" t="s">
        <v>1108</v>
      </c>
      <c r="G27" s="38"/>
      <c r="H27" s="38"/>
      <c r="I27" s="38"/>
    </row>
    <row r="28" spans="1:9">
      <c r="A28" s="51" t="s">
        <v>1109</v>
      </c>
      <c r="B28" s="18">
        <v>12</v>
      </c>
      <c r="C28" s="67">
        <v>55</v>
      </c>
      <c r="D28" s="87" t="s">
        <v>1110</v>
      </c>
      <c r="E28" s="18">
        <v>12</v>
      </c>
      <c r="F28" s="32">
        <f>E28-E28*C28/366</f>
        <v>10.196721311475409</v>
      </c>
      <c r="G28" s="1" t="s">
        <v>1111</v>
      </c>
      <c r="H28" s="156"/>
      <c r="I28" s="156"/>
    </row>
    <row r="29" spans="1:9">
      <c r="A29" s="51" t="s">
        <v>1112</v>
      </c>
      <c r="B29" s="18">
        <v>18</v>
      </c>
      <c r="C29" s="67">
        <v>0</v>
      </c>
      <c r="D29" s="87" t="s">
        <v>1113</v>
      </c>
      <c r="E29" s="18">
        <v>18</v>
      </c>
      <c r="F29" s="18">
        <v>18</v>
      </c>
      <c r="G29" s="1" t="s">
        <v>1114</v>
      </c>
      <c r="H29" s="156"/>
      <c r="I29" s="156"/>
    </row>
    <row r="30" spans="1:9">
      <c r="A30" s="51" t="s">
        <v>1115</v>
      </c>
      <c r="B30" s="18">
        <v>5</v>
      </c>
      <c r="C30" s="67">
        <v>0</v>
      </c>
      <c r="D30" s="51" t="s">
        <v>1116</v>
      </c>
      <c r="E30" s="18">
        <v>3</v>
      </c>
      <c r="F30" s="18">
        <v>3</v>
      </c>
      <c r="G30" s="1" t="s">
        <v>1117</v>
      </c>
      <c r="H30" s="156"/>
      <c r="I30" s="156"/>
    </row>
    <row r="31" spans="1:9">
      <c r="A31" s="51" t="s">
        <v>1118</v>
      </c>
      <c r="B31" s="18">
        <v>3</v>
      </c>
      <c r="C31" s="156"/>
      <c r="D31" s="87" t="s">
        <v>1110</v>
      </c>
      <c r="E31" s="18">
        <v>2</v>
      </c>
      <c r="F31" s="18">
        <v>2</v>
      </c>
      <c r="G31" s="1" t="s">
        <v>1119</v>
      </c>
      <c r="H31" s="156"/>
      <c r="I31" s="156"/>
    </row>
    <row r="32" spans="1:9">
      <c r="A32" s="50" t="s">
        <v>1120</v>
      </c>
      <c r="B32" s="156"/>
      <c r="C32" s="156"/>
      <c r="D32" s="156"/>
      <c r="E32" s="156"/>
      <c r="F32" s="35">
        <f>SUM(F28:F31)</f>
        <v>33.196721311475407</v>
      </c>
      <c r="G32" s="156"/>
      <c r="H32" s="156"/>
      <c r="I32" s="156"/>
    </row>
    <row r="33" spans="1:9">
      <c r="A33" s="156"/>
      <c r="B33" s="156"/>
      <c r="C33" s="156"/>
      <c r="D33" s="156"/>
      <c r="E33" s="156"/>
      <c r="F33" s="156"/>
      <c r="G33" s="156"/>
      <c r="H33" s="156"/>
      <c r="I33" s="156"/>
    </row>
    <row r="34" spans="1:9">
      <c r="A34" s="95" t="s">
        <v>1121</v>
      </c>
      <c r="B34" s="156"/>
      <c r="C34" s="156"/>
      <c r="D34" s="156"/>
      <c r="E34" s="156"/>
      <c r="F34" s="156"/>
      <c r="G34" s="156"/>
      <c r="H34" s="156"/>
      <c r="I34" s="156"/>
    </row>
    <row r="35" spans="1:9">
      <c r="A35" s="38"/>
      <c r="B35" s="38" t="s">
        <v>180</v>
      </c>
      <c r="C35" s="38" t="s">
        <v>181</v>
      </c>
      <c r="D35" s="38" t="s">
        <v>182</v>
      </c>
      <c r="E35" s="38" t="s">
        <v>183</v>
      </c>
      <c r="F35" s="38" t="s">
        <v>184</v>
      </c>
      <c r="G35" s="38" t="s">
        <v>185</v>
      </c>
      <c r="H35" s="38" t="s">
        <v>1122</v>
      </c>
      <c r="I35" s="38"/>
    </row>
    <row r="36" spans="1:9">
      <c r="A36" s="51" t="s">
        <v>1123</v>
      </c>
      <c r="B36" s="98">
        <v>4.5</v>
      </c>
      <c r="C36" s="98">
        <v>5</v>
      </c>
      <c r="D36" s="98">
        <v>4.5</v>
      </c>
      <c r="E36" s="98">
        <v>4</v>
      </c>
      <c r="F36" s="98">
        <v>4.5</v>
      </c>
      <c r="G36" s="98">
        <v>5</v>
      </c>
      <c r="H36" s="117">
        <f>SUM(D36:G36)</f>
        <v>18</v>
      </c>
      <c r="I36" s="156"/>
    </row>
    <row r="37" spans="1:9">
      <c r="A37" s="51" t="s">
        <v>1124</v>
      </c>
      <c r="B37" s="32">
        <f>B36*150</f>
        <v>675</v>
      </c>
      <c r="C37" s="32">
        <f>C36*150</f>
        <v>750</v>
      </c>
      <c r="D37" s="32">
        <f>D36*150</f>
        <v>675</v>
      </c>
      <c r="E37" s="32">
        <f>E36*150</f>
        <v>600</v>
      </c>
      <c r="F37" s="32">
        <f>F36*150</f>
        <v>675</v>
      </c>
      <c r="G37" s="32">
        <f>G36*150</f>
        <v>750</v>
      </c>
      <c r="H37" s="156"/>
      <c r="I37" s="156"/>
    </row>
    <row r="38" spans="1:9">
      <c r="A38" s="51" t="s">
        <v>1125</v>
      </c>
      <c r="B38" s="9">
        <v>0.02</v>
      </c>
      <c r="C38" s="9">
        <v>1.9E-2</v>
      </c>
      <c r="D38" s="9">
        <v>2.1999999999999999E-2</v>
      </c>
      <c r="E38" s="9">
        <v>2.4E-2</v>
      </c>
      <c r="F38" s="9">
        <v>2.5000000000000001E-2</v>
      </c>
      <c r="G38" s="9">
        <v>2.5999999999999999E-2</v>
      </c>
      <c r="H38" s="156"/>
      <c r="I38" s="156"/>
    </row>
    <row r="39" spans="1:9">
      <c r="A39" s="156"/>
      <c r="B39" s="156"/>
      <c r="C39" s="156"/>
      <c r="D39" s="156"/>
      <c r="E39" s="156"/>
      <c r="F39" s="156"/>
      <c r="G39" s="156"/>
      <c r="H39" s="156"/>
      <c r="I39" s="156"/>
    </row>
    <row r="40" spans="1:9">
      <c r="A40" s="95" t="s">
        <v>1126</v>
      </c>
      <c r="B40" s="156"/>
      <c r="C40" s="156"/>
      <c r="D40" s="156"/>
      <c r="E40" s="156"/>
      <c r="F40" s="156"/>
      <c r="G40" s="156"/>
      <c r="H40" s="156"/>
      <c r="I40" s="156"/>
    </row>
    <row r="41" spans="1:9">
      <c r="A41" s="38" t="s">
        <v>1127</v>
      </c>
      <c r="B41" s="38" t="s">
        <v>1128</v>
      </c>
      <c r="C41" s="38" t="s">
        <v>1129</v>
      </c>
      <c r="D41" s="38" t="s">
        <v>1130</v>
      </c>
      <c r="E41" s="38" t="s">
        <v>1131</v>
      </c>
      <c r="F41" s="38" t="s">
        <v>1132</v>
      </c>
      <c r="G41" s="38" t="s">
        <v>1133</v>
      </c>
      <c r="H41" s="38" t="s">
        <v>1134</v>
      </c>
      <c r="I41" s="38"/>
    </row>
    <row r="42" spans="1:9">
      <c r="A42" s="51" t="s">
        <v>1135</v>
      </c>
      <c r="B42" s="18">
        <v>42</v>
      </c>
      <c r="C42" s="156"/>
      <c r="D42" s="156"/>
      <c r="E42" s="156"/>
      <c r="F42" s="156"/>
      <c r="G42" s="156"/>
      <c r="H42" s="156"/>
      <c r="I42" s="156"/>
    </row>
    <row r="43" spans="1:9">
      <c r="A43" s="50" t="s">
        <v>1136</v>
      </c>
      <c r="B43" s="37">
        <f>B42*1000/1095</f>
        <v>38.356164383561641</v>
      </c>
      <c r="C43" s="37">
        <f>B42*1000/1105</f>
        <v>38.009049773755656</v>
      </c>
      <c r="D43" s="37">
        <f>B42*1000/1115</f>
        <v>37.668161434977577</v>
      </c>
      <c r="E43" s="37">
        <f>B42*1000/1125</f>
        <v>37.333333333333336</v>
      </c>
      <c r="F43" s="37">
        <f>B42*1000/1135</f>
        <v>37.004405286343612</v>
      </c>
      <c r="G43" s="126">
        <f>B42*1000/1142</f>
        <v>36.77758318739054</v>
      </c>
      <c r="H43" s="37">
        <f>B42*1000/1150</f>
        <v>36.521739130434781</v>
      </c>
      <c r="I43" s="156"/>
    </row>
    <row r="44" spans="1:9">
      <c r="A44" s="51" t="s">
        <v>1137</v>
      </c>
      <c r="B44" s="37">
        <f>B43-F43</f>
        <v>1.3517590972180287</v>
      </c>
      <c r="C44" s="37">
        <f>C43-F43</f>
        <v>1.0046444874120439</v>
      </c>
      <c r="D44" s="37">
        <f>D43-F43</f>
        <v>0.66375614863396493</v>
      </c>
      <c r="E44" s="37">
        <f>E43-F43</f>
        <v>0.32892804698972355</v>
      </c>
      <c r="F44" s="37">
        <f>F43-F43</f>
        <v>0</v>
      </c>
      <c r="G44" s="37">
        <f>G43-F43</f>
        <v>-0.22682209895307182</v>
      </c>
      <c r="H44" s="37">
        <f>H43-F43</f>
        <v>-0.48266615590883077</v>
      </c>
      <c r="I44" s="156"/>
    </row>
  </sheetData>
  <mergeCells count="2">
    <mergeCell ref="A1:I1"/>
    <mergeCell ref="A24:I24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I108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9" width="14" customWidth="1"/>
  </cols>
  <sheetData>
    <row r="1" spans="1:9">
      <c r="A1" s="208" t="s">
        <v>1138</v>
      </c>
      <c r="B1" s="207"/>
      <c r="C1" s="207"/>
      <c r="D1" s="207"/>
      <c r="E1" s="207"/>
      <c r="F1" s="207"/>
      <c r="G1" s="207"/>
      <c r="H1" s="207"/>
      <c r="I1" s="207"/>
    </row>
    <row r="2" spans="1:9">
      <c r="A2" s="1" t="s">
        <v>1139</v>
      </c>
      <c r="B2" s="156"/>
      <c r="C2" s="156"/>
      <c r="D2" s="156"/>
      <c r="E2" s="156"/>
      <c r="F2" s="156"/>
      <c r="G2" s="156"/>
      <c r="H2" s="156"/>
      <c r="I2" s="156"/>
    </row>
    <row r="3" spans="1:9">
      <c r="A3" s="156"/>
      <c r="B3" s="156"/>
      <c r="C3" s="156"/>
      <c r="D3" s="156"/>
      <c r="E3" s="156"/>
      <c r="F3" s="156"/>
      <c r="G3" s="156"/>
      <c r="H3" s="156"/>
      <c r="I3" s="156"/>
    </row>
    <row r="4" spans="1:9">
      <c r="A4" s="95" t="s">
        <v>1140</v>
      </c>
      <c r="B4" s="156"/>
      <c r="C4" s="156"/>
      <c r="D4" s="156"/>
      <c r="E4" s="156"/>
      <c r="F4" s="156"/>
      <c r="G4" s="156"/>
      <c r="H4" s="156"/>
      <c r="I4" s="156"/>
    </row>
    <row r="5" spans="1:9">
      <c r="A5" s="51" t="s">
        <v>1141</v>
      </c>
      <c r="B5" s="9">
        <v>4.2000000000000003E-2</v>
      </c>
      <c r="C5" s="156"/>
      <c r="D5" s="156"/>
      <c r="E5" s="156"/>
      <c r="F5" s="156"/>
      <c r="G5" s="156"/>
      <c r="H5" s="156"/>
      <c r="I5" s="156"/>
    </row>
    <row r="6" spans="1:9">
      <c r="A6" s="51" t="s">
        <v>1142</v>
      </c>
      <c r="B6" s="9">
        <v>5.5E-2</v>
      </c>
      <c r="C6" s="156"/>
      <c r="D6" s="156"/>
      <c r="E6" s="156"/>
      <c r="F6" s="156"/>
      <c r="G6" s="156"/>
      <c r="H6" s="156"/>
      <c r="I6" s="156"/>
    </row>
    <row r="7" spans="1:9">
      <c r="A7" s="51" t="s">
        <v>1143</v>
      </c>
      <c r="B7" s="100">
        <v>1.25</v>
      </c>
      <c r="C7" s="156"/>
      <c r="D7" s="156"/>
      <c r="E7" s="156"/>
      <c r="F7" s="156"/>
      <c r="G7" s="156"/>
      <c r="H7" s="156"/>
      <c r="I7" s="156"/>
    </row>
    <row r="8" spans="1:9">
      <c r="A8" s="50" t="s">
        <v>1144</v>
      </c>
      <c r="B8" s="29">
        <f>B5+B7*B6</f>
        <v>0.11075000000000002</v>
      </c>
      <c r="C8" s="156"/>
      <c r="D8" s="156"/>
      <c r="E8" s="156"/>
      <c r="F8" s="156"/>
      <c r="G8" s="156"/>
      <c r="H8" s="156"/>
      <c r="I8" s="156"/>
    </row>
    <row r="9" spans="1:9">
      <c r="A9" s="51" t="s">
        <v>1145</v>
      </c>
      <c r="B9" s="9">
        <v>5.2999999999999999E-2</v>
      </c>
      <c r="C9" s="156"/>
      <c r="D9" s="156"/>
      <c r="E9" s="156"/>
      <c r="F9" s="156"/>
      <c r="G9" s="156"/>
      <c r="H9" s="156"/>
      <c r="I9" s="156"/>
    </row>
    <row r="10" spans="1:9">
      <c r="A10" s="51" t="s">
        <v>1146</v>
      </c>
      <c r="B10" s="9">
        <v>0.151</v>
      </c>
      <c r="C10" s="156"/>
      <c r="D10" s="156"/>
      <c r="E10" s="156"/>
      <c r="F10" s="156"/>
      <c r="G10" s="156"/>
      <c r="H10" s="156"/>
      <c r="I10" s="156"/>
    </row>
    <row r="11" spans="1:9">
      <c r="A11" s="50" t="s">
        <v>1147</v>
      </c>
      <c r="B11" s="29">
        <f>B9*(1-B10)</f>
        <v>4.4996999999999995E-2</v>
      </c>
      <c r="C11" s="156"/>
      <c r="D11" s="156"/>
      <c r="E11" s="156"/>
      <c r="F11" s="156"/>
      <c r="G11" s="156"/>
      <c r="H11" s="156"/>
      <c r="I11" s="156"/>
    </row>
    <row r="12" spans="1:9">
      <c r="A12" s="51" t="s">
        <v>1148</v>
      </c>
      <c r="B12" s="9">
        <v>2.4E-2</v>
      </c>
      <c r="C12" s="156"/>
      <c r="D12" s="156"/>
      <c r="E12" s="156"/>
      <c r="F12" s="156"/>
      <c r="G12" s="156"/>
      <c r="H12" s="156"/>
      <c r="I12" s="156"/>
    </row>
    <row r="13" spans="1:9">
      <c r="A13" s="50" t="s">
        <v>1149</v>
      </c>
      <c r="B13" s="29">
        <f>1-B12</f>
        <v>0.97599999999999998</v>
      </c>
      <c r="C13" s="156"/>
      <c r="D13" s="156"/>
      <c r="E13" s="156"/>
      <c r="F13" s="156"/>
      <c r="G13" s="156"/>
      <c r="H13" s="156"/>
      <c r="I13" s="156"/>
    </row>
    <row r="14" spans="1:9">
      <c r="A14" s="50" t="s">
        <v>1150</v>
      </c>
      <c r="B14" s="107">
        <f>B8*B13+B11*B12</f>
        <v>0.109171928</v>
      </c>
      <c r="C14" s="156"/>
      <c r="D14" s="156"/>
      <c r="E14" s="156"/>
      <c r="F14" s="156"/>
      <c r="G14" s="156"/>
      <c r="H14" s="156"/>
      <c r="I14" s="156"/>
    </row>
    <row r="15" spans="1:9">
      <c r="A15" s="156"/>
      <c r="B15" s="156"/>
      <c r="C15" s="156"/>
      <c r="D15" s="156"/>
      <c r="E15" s="156"/>
      <c r="F15" s="156"/>
      <c r="G15" s="156"/>
      <c r="H15" s="156"/>
      <c r="I15" s="156"/>
    </row>
    <row r="16" spans="1:9">
      <c r="A16" s="95" t="s">
        <v>1151</v>
      </c>
      <c r="B16" s="156"/>
      <c r="C16" s="156"/>
      <c r="D16" s="156"/>
      <c r="E16" s="156"/>
      <c r="F16" s="156"/>
      <c r="G16" s="156"/>
      <c r="H16" s="156"/>
      <c r="I16" s="156"/>
    </row>
    <row r="17" spans="1:9">
      <c r="A17" s="6"/>
      <c r="B17" s="6" t="s">
        <v>302</v>
      </c>
      <c r="C17" s="6" t="s">
        <v>303</v>
      </c>
      <c r="D17" s="6" t="s">
        <v>1152</v>
      </c>
      <c r="E17" s="6" t="s">
        <v>1153</v>
      </c>
      <c r="F17" s="6" t="s">
        <v>1154</v>
      </c>
      <c r="G17" s="6" t="s">
        <v>1155</v>
      </c>
      <c r="H17" s="156"/>
      <c r="I17" s="156"/>
    </row>
    <row r="18" spans="1:9">
      <c r="A18" s="156"/>
      <c r="B18" s="7" t="s">
        <v>1156</v>
      </c>
      <c r="C18" s="7" t="s">
        <v>1156</v>
      </c>
      <c r="D18" s="7" t="s">
        <v>1156</v>
      </c>
      <c r="E18" s="8" t="s">
        <v>1157</v>
      </c>
      <c r="F18" s="8" t="s">
        <v>1157</v>
      </c>
      <c r="G18" s="8" t="s">
        <v>1157</v>
      </c>
      <c r="H18" s="156"/>
      <c r="I18" s="156"/>
    </row>
    <row r="19" spans="1:9">
      <c r="A19" s="51" t="s">
        <v>1158</v>
      </c>
      <c r="B19" s="18">
        <v>106</v>
      </c>
      <c r="C19" s="56">
        <v>118</v>
      </c>
      <c r="D19" s="18">
        <v>105</v>
      </c>
      <c r="E19" s="18">
        <v>90</v>
      </c>
      <c r="F19" s="18">
        <v>88</v>
      </c>
      <c r="G19" s="18">
        <v>95</v>
      </c>
      <c r="H19" s="156"/>
      <c r="I19" s="156"/>
    </row>
    <row r="20" spans="1:9">
      <c r="A20" s="51" t="s">
        <v>1159</v>
      </c>
      <c r="B20" s="9">
        <v>0.75</v>
      </c>
      <c r="C20" s="10">
        <v>0.65</v>
      </c>
      <c r="D20" s="9">
        <v>0.55000000000000004</v>
      </c>
      <c r="E20" s="9">
        <v>0.48</v>
      </c>
      <c r="F20" s="9">
        <v>0.45</v>
      </c>
      <c r="G20" s="9">
        <v>0.5</v>
      </c>
      <c r="H20" s="156"/>
      <c r="I20" s="156"/>
    </row>
    <row r="21" spans="1:9">
      <c r="A21" s="51" t="s">
        <v>1160</v>
      </c>
      <c r="B21" s="52">
        <f>B19*B20</f>
        <v>79.5</v>
      </c>
      <c r="C21" s="52">
        <f>C19*C20</f>
        <v>76.7</v>
      </c>
      <c r="D21" s="52">
        <f>D19*D20</f>
        <v>57.750000000000007</v>
      </c>
      <c r="E21" s="52">
        <f>E19*E20</f>
        <v>43.199999999999996</v>
      </c>
      <c r="F21" s="52">
        <f>F19*F20</f>
        <v>39.6</v>
      </c>
      <c r="G21" s="52">
        <f>G19*G20</f>
        <v>47.5</v>
      </c>
      <c r="H21" s="156"/>
      <c r="I21" s="156"/>
    </row>
    <row r="22" spans="1:9">
      <c r="A22" s="51" t="s">
        <v>1161</v>
      </c>
      <c r="B22" s="18">
        <v>-12</v>
      </c>
      <c r="C22" s="18">
        <v>-15</v>
      </c>
      <c r="D22" s="18">
        <v>-18</v>
      </c>
      <c r="E22" s="18">
        <v>-20</v>
      </c>
      <c r="F22" s="18">
        <v>-21</v>
      </c>
      <c r="G22" s="18">
        <v>-21</v>
      </c>
      <c r="H22" s="156"/>
      <c r="I22" s="156"/>
    </row>
    <row r="23" spans="1:9">
      <c r="A23" s="51" t="s">
        <v>1162</v>
      </c>
      <c r="B23" s="52">
        <f>B21+B22</f>
        <v>67.5</v>
      </c>
      <c r="C23" s="52">
        <f>C21+C22</f>
        <v>61.7</v>
      </c>
      <c r="D23" s="52">
        <f>D21+D22</f>
        <v>39.750000000000007</v>
      </c>
      <c r="E23" s="52">
        <f>E21+E22</f>
        <v>23.199999999999996</v>
      </c>
      <c r="F23" s="52">
        <f>F21+F22</f>
        <v>18.600000000000001</v>
      </c>
      <c r="G23" s="52">
        <f>G21+G22</f>
        <v>26.5</v>
      </c>
      <c r="H23" s="156"/>
      <c r="I23" s="156"/>
    </row>
    <row r="24" spans="1:9">
      <c r="A24" s="51" t="s">
        <v>1163</v>
      </c>
      <c r="B24" s="32">
        <f>-B23*0.151</f>
        <v>-10.192499999999999</v>
      </c>
      <c r="C24" s="32">
        <f>-C23*0.151</f>
        <v>-9.3167000000000009</v>
      </c>
      <c r="D24" s="32">
        <f>-D23*0.151</f>
        <v>-6.002250000000001</v>
      </c>
      <c r="E24" s="32">
        <f>-E23*0.151</f>
        <v>-3.5031999999999992</v>
      </c>
      <c r="F24" s="32">
        <f>-F23*0.151</f>
        <v>-2.8086000000000002</v>
      </c>
      <c r="G24" s="32">
        <f>-G23*0.151</f>
        <v>-4.0015000000000001</v>
      </c>
      <c r="H24" s="156"/>
      <c r="I24" s="156"/>
    </row>
    <row r="25" spans="1:9">
      <c r="A25" s="51" t="s">
        <v>1164</v>
      </c>
      <c r="B25" s="52">
        <f>B23+B24</f>
        <v>57.307500000000005</v>
      </c>
      <c r="C25" s="52">
        <f>C23+C24</f>
        <v>52.383300000000006</v>
      </c>
      <c r="D25" s="52">
        <f>D23+D24</f>
        <v>33.747750000000003</v>
      </c>
      <c r="E25" s="52">
        <f>E23+E24</f>
        <v>19.696799999999996</v>
      </c>
      <c r="F25" s="52">
        <f>F23+F24</f>
        <v>15.791400000000001</v>
      </c>
      <c r="G25" s="52">
        <f>G23+G24</f>
        <v>22.4985</v>
      </c>
      <c r="H25" s="156"/>
      <c r="I25" s="156"/>
    </row>
    <row r="26" spans="1:9">
      <c r="A26" s="51" t="s">
        <v>1165</v>
      </c>
      <c r="B26" s="52">
        <f>-B22</f>
        <v>12</v>
      </c>
      <c r="C26" s="52">
        <f>-C22</f>
        <v>15</v>
      </c>
      <c r="D26" s="52">
        <f>-D22</f>
        <v>18</v>
      </c>
      <c r="E26" s="52">
        <f>-E22</f>
        <v>20</v>
      </c>
      <c r="F26" s="52">
        <f>-F22</f>
        <v>21</v>
      </c>
      <c r="G26" s="52">
        <f>-G22</f>
        <v>21</v>
      </c>
      <c r="H26" s="156"/>
      <c r="I26" s="156"/>
    </row>
    <row r="27" spans="1:9">
      <c r="A27" s="51" t="s">
        <v>1166</v>
      </c>
      <c r="B27" s="18">
        <v>-25</v>
      </c>
      <c r="C27" s="56">
        <v>-36</v>
      </c>
      <c r="D27" s="18">
        <v>-32</v>
      </c>
      <c r="E27" s="18">
        <v>-25</v>
      </c>
      <c r="F27" s="18">
        <v>-22</v>
      </c>
      <c r="G27" s="18">
        <v>-24</v>
      </c>
      <c r="H27" s="156"/>
      <c r="I27" s="156"/>
    </row>
    <row r="28" spans="1:9">
      <c r="A28" s="51" t="s">
        <v>1167</v>
      </c>
      <c r="B28" s="63">
        <v>1.2</v>
      </c>
      <c r="C28" s="63">
        <v>1.2</v>
      </c>
      <c r="D28" s="63">
        <v>1.2</v>
      </c>
      <c r="E28" s="63">
        <v>1</v>
      </c>
      <c r="F28" s="63">
        <v>0.8</v>
      </c>
      <c r="G28" s="63">
        <v>0.5</v>
      </c>
      <c r="H28" s="156"/>
      <c r="I28" s="156"/>
    </row>
    <row r="29" spans="1:9">
      <c r="A29" s="51" t="s">
        <v>1168</v>
      </c>
      <c r="B29" s="18">
        <v>-3</v>
      </c>
      <c r="C29" s="18">
        <v>-2</v>
      </c>
      <c r="D29" s="18">
        <v>1</v>
      </c>
      <c r="E29" s="18">
        <v>1</v>
      </c>
      <c r="F29" s="63">
        <v>0.5</v>
      </c>
      <c r="G29" s="63">
        <v>-0.5</v>
      </c>
      <c r="H29" s="156"/>
      <c r="I29" s="156"/>
    </row>
    <row r="30" spans="1:9">
      <c r="A30" s="156"/>
      <c r="B30" s="156"/>
      <c r="C30" s="156"/>
      <c r="D30" s="156"/>
      <c r="E30" s="156"/>
      <c r="F30" s="156"/>
      <c r="G30" s="156"/>
      <c r="H30" s="156"/>
      <c r="I30" s="156"/>
    </row>
    <row r="31" spans="1:9">
      <c r="A31" s="97" t="s">
        <v>1169</v>
      </c>
      <c r="B31" s="108">
        <f>B25+B26+B27+B28+B29</f>
        <v>42.507500000000007</v>
      </c>
      <c r="C31" s="108">
        <f>C25+C26+C27+C28+C29</f>
        <v>30.583300000000008</v>
      </c>
      <c r="D31" s="108">
        <f>D25+D26+D27+D28+D29</f>
        <v>21.947750000000003</v>
      </c>
      <c r="E31" s="108">
        <f>E25+E26+E27+E28+E29</f>
        <v>16.696799999999996</v>
      </c>
      <c r="F31" s="108">
        <f>F25+F26+F27+F28+F29</f>
        <v>16.091400000000004</v>
      </c>
      <c r="G31" s="108">
        <f>G25+G26+G27+G28+G29</f>
        <v>19.4985</v>
      </c>
      <c r="H31" s="156"/>
      <c r="I31" s="156"/>
    </row>
    <row r="32" spans="1:9">
      <c r="A32" s="156"/>
      <c r="B32" s="156"/>
      <c r="C32" s="156"/>
      <c r="D32" s="156"/>
      <c r="E32" s="156"/>
      <c r="F32" s="156"/>
      <c r="G32" s="156"/>
      <c r="H32" s="156"/>
      <c r="I32" s="156"/>
    </row>
    <row r="33" spans="1:9">
      <c r="A33" s="95" t="s">
        <v>1170</v>
      </c>
      <c r="B33" s="156"/>
      <c r="C33" s="156"/>
      <c r="D33" s="156"/>
      <c r="E33" s="156"/>
      <c r="F33" s="156"/>
      <c r="G33" s="156"/>
      <c r="H33" s="156"/>
      <c r="I33" s="156"/>
    </row>
    <row r="34" spans="1:9">
      <c r="A34" s="51" t="s">
        <v>1171</v>
      </c>
      <c r="B34" s="98">
        <v>0.5</v>
      </c>
      <c r="C34" s="98">
        <v>1.5</v>
      </c>
      <c r="D34" s="98">
        <v>2.5</v>
      </c>
      <c r="E34" s="98">
        <v>3.5</v>
      </c>
      <c r="F34" s="98">
        <v>4.5</v>
      </c>
      <c r="G34" s="98">
        <v>5.5</v>
      </c>
      <c r="H34" s="156"/>
      <c r="I34" s="156"/>
    </row>
    <row r="35" spans="1:9">
      <c r="A35" s="51" t="s">
        <v>1172</v>
      </c>
      <c r="B35" s="109">
        <f>1/(1+B14)^B34</f>
        <v>0.94951223502757121</v>
      </c>
      <c r="C35" s="109">
        <f>1/(1+B14)^C34</f>
        <v>0.85605505427790729</v>
      </c>
      <c r="D35" s="109">
        <f>1/(1+B14)^D34</f>
        <v>0.77179653818096561</v>
      </c>
      <c r="E35" s="109">
        <f>1/(1+B14)^E34</f>
        <v>0.69583129422742251</v>
      </c>
      <c r="F35" s="109">
        <f>1/(1+B14)^F34</f>
        <v>0.62734304453783707</v>
      </c>
      <c r="G35" s="109">
        <f>1/(1+B14)^G34</f>
        <v>0.56559585462014783</v>
      </c>
      <c r="H35" s="156"/>
      <c r="I35" s="156"/>
    </row>
    <row r="36" spans="1:9">
      <c r="A36" s="51" t="s">
        <v>1173</v>
      </c>
      <c r="B36" s="52">
        <f>B31*B35</f>
        <v>40.361391330434493</v>
      </c>
      <c r="C36" s="52">
        <f>C31*C35</f>
        <v>26.180988541497531</v>
      </c>
      <c r="D36" s="52">
        <f>D31*D35</f>
        <v>16.939197470861291</v>
      </c>
      <c r="E36" s="52">
        <f>E31*E35</f>
        <v>11.618155953456425</v>
      </c>
      <c r="F36" s="52">
        <f>F31*F35</f>
        <v>10.094827866876154</v>
      </c>
      <c r="G36" s="52">
        <f>G31*G35</f>
        <v>11.028270771310952</v>
      </c>
      <c r="H36" s="156"/>
      <c r="I36" s="156"/>
    </row>
    <row r="37" spans="1:9">
      <c r="A37" s="50" t="s">
        <v>1174</v>
      </c>
      <c r="B37" s="46">
        <f>SUM(B36:G36)</f>
        <v>116.22283193443685</v>
      </c>
      <c r="C37" s="156"/>
      <c r="D37" s="156"/>
      <c r="E37" s="156"/>
      <c r="F37" s="156"/>
      <c r="G37" s="156"/>
      <c r="H37" s="156"/>
      <c r="I37" s="156"/>
    </row>
    <row r="38" spans="1:9">
      <c r="A38" s="156"/>
      <c r="B38" s="156"/>
      <c r="C38" s="156"/>
      <c r="D38" s="156"/>
      <c r="E38" s="156"/>
      <c r="F38" s="156"/>
      <c r="G38" s="156"/>
      <c r="H38" s="156"/>
      <c r="I38" s="156"/>
    </row>
    <row r="39" spans="1:9">
      <c r="A39" s="95" t="s">
        <v>1175</v>
      </c>
      <c r="B39" s="156"/>
      <c r="C39" s="156"/>
      <c r="D39" s="156"/>
      <c r="E39" s="156"/>
      <c r="F39" s="156"/>
      <c r="G39" s="156"/>
      <c r="H39" s="156"/>
      <c r="I39" s="156"/>
    </row>
    <row r="40" spans="1:9">
      <c r="A40" s="51" t="s">
        <v>1176</v>
      </c>
      <c r="B40" s="52">
        <f>G31</f>
        <v>19.4985</v>
      </c>
      <c r="C40" s="156"/>
      <c r="D40" s="156"/>
      <c r="E40" s="156"/>
      <c r="F40" s="156"/>
      <c r="G40" s="156"/>
      <c r="H40" s="156"/>
      <c r="I40" s="156"/>
    </row>
    <row r="41" spans="1:9">
      <c r="A41" s="99" t="s">
        <v>1177</v>
      </c>
      <c r="B41" s="10">
        <v>3.5000000000000003E-2</v>
      </c>
      <c r="C41" s="156"/>
      <c r="D41" s="156"/>
      <c r="E41" s="156"/>
      <c r="F41" s="156"/>
      <c r="G41" s="156"/>
      <c r="H41" s="156"/>
      <c r="I41" s="156"/>
    </row>
    <row r="42" spans="1:9">
      <c r="A42" s="51" t="s">
        <v>1178</v>
      </c>
      <c r="B42" s="52">
        <f>B40*(1+B41)/(B14-B41)</f>
        <v>272.08336151110967</v>
      </c>
      <c r="C42" s="156"/>
      <c r="D42" s="156"/>
      <c r="E42" s="156"/>
      <c r="F42" s="156"/>
      <c r="G42" s="156"/>
      <c r="H42" s="156"/>
      <c r="I42" s="156"/>
    </row>
    <row r="43" spans="1:9">
      <c r="A43" s="51" t="s">
        <v>1179</v>
      </c>
      <c r="B43" s="52">
        <f>B42*G35</f>
        <v>153.88922138179871</v>
      </c>
      <c r="C43" s="156"/>
      <c r="D43" s="156"/>
      <c r="E43" s="156"/>
      <c r="F43" s="156"/>
      <c r="G43" s="156"/>
      <c r="H43" s="156"/>
      <c r="I43" s="156"/>
    </row>
    <row r="44" spans="1:9">
      <c r="A44" s="51" t="s">
        <v>1180</v>
      </c>
      <c r="B44" s="64">
        <f>B42/G21</f>
        <v>5.7280707686549404</v>
      </c>
      <c r="C44" s="156"/>
      <c r="D44" s="156"/>
      <c r="E44" s="156"/>
      <c r="F44" s="156"/>
      <c r="G44" s="156"/>
      <c r="H44" s="156"/>
      <c r="I44" s="156"/>
    </row>
    <row r="45" spans="1:9">
      <c r="A45" s="156"/>
      <c r="B45" s="156"/>
      <c r="C45" s="156"/>
      <c r="D45" s="156"/>
      <c r="E45" s="156"/>
      <c r="F45" s="156"/>
      <c r="G45" s="156"/>
      <c r="H45" s="156"/>
      <c r="I45" s="156"/>
    </row>
    <row r="46" spans="1:9">
      <c r="A46" s="95" t="s">
        <v>1181</v>
      </c>
      <c r="B46" s="156"/>
      <c r="C46" s="156"/>
      <c r="D46" s="156"/>
      <c r="E46" s="156"/>
      <c r="F46" s="156"/>
      <c r="G46" s="156"/>
      <c r="H46" s="156"/>
      <c r="I46" s="156"/>
    </row>
    <row r="47" spans="1:9">
      <c r="A47" s="51" t="s">
        <v>1174</v>
      </c>
      <c r="B47" s="52">
        <f>B37</f>
        <v>116.22283193443685</v>
      </c>
      <c r="C47" s="156"/>
      <c r="D47" s="156"/>
      <c r="E47" s="156"/>
      <c r="F47" s="156"/>
      <c r="G47" s="156"/>
      <c r="H47" s="156"/>
      <c r="I47" s="156"/>
    </row>
    <row r="48" spans="1:9">
      <c r="A48" s="51" t="s">
        <v>1179</v>
      </c>
      <c r="B48" s="52">
        <f>B43</f>
        <v>153.88922138179871</v>
      </c>
      <c r="C48" s="156"/>
      <c r="D48" s="156"/>
      <c r="E48" s="156"/>
      <c r="F48" s="156"/>
      <c r="G48" s="156"/>
      <c r="H48" s="156"/>
      <c r="I48" s="156"/>
    </row>
    <row r="49" spans="1:9">
      <c r="A49" s="50" t="s">
        <v>1182</v>
      </c>
      <c r="B49" s="110">
        <f>B47+B48</f>
        <v>270.11205331623557</v>
      </c>
      <c r="C49" s="156"/>
      <c r="D49" s="156"/>
      <c r="E49" s="156"/>
      <c r="F49" s="156"/>
      <c r="G49" s="156"/>
      <c r="H49" s="156"/>
      <c r="I49" s="156"/>
    </row>
    <row r="50" spans="1:9">
      <c r="A50" s="51" t="s">
        <v>1183</v>
      </c>
      <c r="B50" s="63">
        <v>6.6</v>
      </c>
      <c r="C50" s="156"/>
      <c r="D50" s="156"/>
      <c r="E50" s="156"/>
      <c r="F50" s="156"/>
      <c r="G50" s="156"/>
      <c r="H50" s="156"/>
      <c r="I50" s="156"/>
    </row>
    <row r="51" spans="1:9">
      <c r="A51" s="50" t="s">
        <v>1184</v>
      </c>
      <c r="B51" s="46">
        <f>B49+B50</f>
        <v>276.7120533162356</v>
      </c>
      <c r="C51" s="156"/>
      <c r="D51" s="156"/>
      <c r="E51" s="156"/>
      <c r="F51" s="156"/>
      <c r="G51" s="156"/>
      <c r="H51" s="156"/>
      <c r="I51" s="156"/>
    </row>
    <row r="52" spans="1:9">
      <c r="A52" s="51" t="s">
        <v>1185</v>
      </c>
      <c r="B52" s="111">
        <v>1.1419999999999999</v>
      </c>
      <c r="C52" s="156"/>
      <c r="D52" s="156"/>
      <c r="E52" s="156"/>
      <c r="F52" s="156"/>
      <c r="G52" s="156"/>
      <c r="H52" s="156"/>
      <c r="I52" s="156"/>
    </row>
    <row r="53" spans="1:9">
      <c r="A53" s="97" t="s">
        <v>1186</v>
      </c>
      <c r="B53" s="112">
        <f>B51/B52</f>
        <v>242.30477523313101</v>
      </c>
      <c r="C53" s="156"/>
      <c r="D53" s="156"/>
      <c r="E53" s="156"/>
      <c r="F53" s="156"/>
      <c r="G53" s="156"/>
      <c r="H53" s="156"/>
      <c r="I53" s="156"/>
    </row>
    <row r="54" spans="1:9">
      <c r="A54" s="51" t="s">
        <v>1187</v>
      </c>
      <c r="B54" s="67">
        <v>366</v>
      </c>
      <c r="C54" s="156"/>
      <c r="D54" s="156"/>
      <c r="E54" s="156"/>
      <c r="F54" s="156"/>
      <c r="G54" s="156"/>
      <c r="H54" s="156"/>
      <c r="I54" s="156"/>
    </row>
    <row r="55" spans="1:9">
      <c r="A55" s="50" t="s">
        <v>1188</v>
      </c>
      <c r="B55" s="29">
        <f>(B53-B54)/B54</f>
        <v>-0.33796509499144534</v>
      </c>
      <c r="C55" s="156"/>
      <c r="D55" s="156"/>
      <c r="E55" s="156"/>
      <c r="F55" s="156"/>
      <c r="G55" s="156"/>
      <c r="H55" s="156"/>
      <c r="I55" s="156"/>
    </row>
    <row r="56" spans="1:9">
      <c r="A56" s="156"/>
      <c r="B56" s="156"/>
      <c r="C56" s="156"/>
      <c r="D56" s="156"/>
      <c r="E56" s="156"/>
      <c r="F56" s="156"/>
      <c r="G56" s="156"/>
      <c r="H56" s="156"/>
      <c r="I56" s="156"/>
    </row>
    <row r="57" spans="1:9">
      <c r="A57" s="95" t="s">
        <v>1189</v>
      </c>
      <c r="B57" s="156"/>
      <c r="C57" s="156"/>
      <c r="D57" s="156"/>
      <c r="E57" s="156"/>
      <c r="F57" s="156"/>
      <c r="G57" s="156"/>
      <c r="H57" s="156"/>
      <c r="I57" s="156"/>
    </row>
    <row r="58" spans="1:9">
      <c r="A58" s="73" t="s">
        <v>1190</v>
      </c>
      <c r="B58" s="113">
        <v>0.02</v>
      </c>
      <c r="C58" s="113">
        <v>2.5000000000000001E-2</v>
      </c>
      <c r="D58" s="113">
        <v>0.03</v>
      </c>
      <c r="E58" s="113">
        <v>3.5000000000000003E-2</v>
      </c>
      <c r="F58" s="113">
        <v>0.04</v>
      </c>
      <c r="G58" s="113">
        <v>4.4999999999999998E-2</v>
      </c>
      <c r="H58" s="113">
        <v>0.05</v>
      </c>
      <c r="I58" s="156"/>
    </row>
    <row r="59" spans="1:9">
      <c r="A59" s="75" t="s">
        <v>1191</v>
      </c>
      <c r="B59" s="77">
        <v>412</v>
      </c>
      <c r="C59" s="77">
        <v>440</v>
      </c>
      <c r="D59" s="79">
        <v>474</v>
      </c>
      <c r="E59" s="79">
        <v>515</v>
      </c>
      <c r="F59" s="79">
        <v>567</v>
      </c>
      <c r="G59" s="79">
        <v>633</v>
      </c>
      <c r="H59" s="79">
        <v>722</v>
      </c>
      <c r="I59" s="156"/>
    </row>
    <row r="60" spans="1:9">
      <c r="A60" s="75" t="s">
        <v>1192</v>
      </c>
      <c r="B60" s="78">
        <v>358</v>
      </c>
      <c r="C60" s="78">
        <v>377</v>
      </c>
      <c r="D60" s="77">
        <v>400</v>
      </c>
      <c r="E60" s="77">
        <v>427</v>
      </c>
      <c r="F60" s="79">
        <v>460</v>
      </c>
      <c r="G60" s="79">
        <v>499</v>
      </c>
      <c r="H60" s="79">
        <v>549</v>
      </c>
      <c r="I60" s="156"/>
    </row>
    <row r="61" spans="1:9">
      <c r="A61" s="75" t="s">
        <v>1193</v>
      </c>
      <c r="B61" s="77">
        <v>318</v>
      </c>
      <c r="C61" s="78">
        <v>332</v>
      </c>
      <c r="D61" s="78">
        <v>348</v>
      </c>
      <c r="E61" s="78">
        <v>367</v>
      </c>
      <c r="F61" s="78">
        <v>389</v>
      </c>
      <c r="G61" s="77">
        <v>415</v>
      </c>
      <c r="H61" s="77">
        <v>446</v>
      </c>
      <c r="I61" s="156"/>
    </row>
    <row r="62" spans="1:9">
      <c r="A62" s="75" t="s">
        <v>1194</v>
      </c>
      <c r="B62" s="77">
        <v>302</v>
      </c>
      <c r="C62" s="77">
        <v>314</v>
      </c>
      <c r="D62" s="77">
        <v>328</v>
      </c>
      <c r="E62" s="78">
        <v>344</v>
      </c>
      <c r="F62" s="78">
        <v>362</v>
      </c>
      <c r="G62" s="78">
        <v>384</v>
      </c>
      <c r="H62" s="77">
        <v>409</v>
      </c>
      <c r="I62" s="156"/>
    </row>
    <row r="63" spans="1:9">
      <c r="A63" s="75" t="s">
        <v>1195</v>
      </c>
      <c r="B63" s="76">
        <v>287</v>
      </c>
      <c r="C63" s="76">
        <v>298</v>
      </c>
      <c r="D63" s="77">
        <v>310</v>
      </c>
      <c r="E63" s="77">
        <v>324</v>
      </c>
      <c r="F63" s="78">
        <v>339</v>
      </c>
      <c r="G63" s="78">
        <v>358</v>
      </c>
      <c r="H63" s="78">
        <v>379</v>
      </c>
      <c r="I63" s="156"/>
    </row>
    <row r="64" spans="1:9">
      <c r="A64" s="75" t="s">
        <v>1196</v>
      </c>
      <c r="B64" s="76">
        <v>263</v>
      </c>
      <c r="C64" s="76">
        <v>272</v>
      </c>
      <c r="D64" s="76">
        <v>281</v>
      </c>
      <c r="E64" s="76">
        <v>291</v>
      </c>
      <c r="F64" s="77">
        <v>303</v>
      </c>
      <c r="G64" s="77">
        <v>316</v>
      </c>
      <c r="H64" s="78">
        <v>331</v>
      </c>
      <c r="I64" s="156"/>
    </row>
    <row r="65" spans="1:9">
      <c r="A65" s="75" t="s">
        <v>1197</v>
      </c>
      <c r="B65" s="76">
        <v>244</v>
      </c>
      <c r="C65" s="76">
        <v>251</v>
      </c>
      <c r="D65" s="76">
        <v>258</v>
      </c>
      <c r="E65" s="76">
        <v>266</v>
      </c>
      <c r="F65" s="76">
        <v>275</v>
      </c>
      <c r="G65" s="76">
        <v>285</v>
      </c>
      <c r="H65" s="76">
        <v>296</v>
      </c>
      <c r="I65" s="156"/>
    </row>
    <row r="66" spans="1:9">
      <c r="A66" s="156"/>
      <c r="B66" s="156"/>
      <c r="C66" s="156"/>
      <c r="D66" s="156"/>
      <c r="E66" s="156"/>
      <c r="F66" s="156"/>
      <c r="G66" s="156"/>
      <c r="H66" s="156"/>
      <c r="I66" s="156"/>
    </row>
    <row r="67" spans="1:9">
      <c r="A67" s="95" t="s">
        <v>1198</v>
      </c>
      <c r="B67" s="156"/>
      <c r="C67" s="156"/>
      <c r="D67" s="156"/>
      <c r="E67" s="156"/>
      <c r="F67" s="156"/>
      <c r="G67" s="156"/>
      <c r="H67" s="156"/>
      <c r="I67" s="156"/>
    </row>
    <row r="68" spans="1:9">
      <c r="A68" s="38" t="s">
        <v>1199</v>
      </c>
      <c r="B68" s="38" t="s">
        <v>1200</v>
      </c>
      <c r="C68" s="38" t="s">
        <v>1201</v>
      </c>
      <c r="D68" s="38" t="s">
        <v>1202</v>
      </c>
      <c r="E68" s="38" t="s">
        <v>1203</v>
      </c>
      <c r="F68" s="38" t="s">
        <v>1204</v>
      </c>
      <c r="G68" s="38" t="s">
        <v>1205</v>
      </c>
      <c r="H68" s="38"/>
      <c r="I68" s="38"/>
    </row>
    <row r="69" spans="1:9">
      <c r="A69" s="125" t="s">
        <v>1206</v>
      </c>
      <c r="B69" s="9">
        <v>0.25</v>
      </c>
      <c r="C69" s="9">
        <v>0.05</v>
      </c>
      <c r="D69" s="9">
        <v>0.62</v>
      </c>
      <c r="E69" s="9">
        <v>4.4999999999999998E-2</v>
      </c>
      <c r="F69" s="67">
        <v>750</v>
      </c>
      <c r="G69" s="25">
        <f>(F69-366)/366</f>
        <v>1.0491803278688525</v>
      </c>
      <c r="H69" s="156"/>
      <c r="I69" s="156"/>
    </row>
    <row r="70" spans="1:9">
      <c r="A70" s="75" t="s">
        <v>1207</v>
      </c>
      <c r="B70" s="9">
        <v>0.45</v>
      </c>
      <c r="C70" s="9">
        <v>0</v>
      </c>
      <c r="D70" s="9">
        <v>0.52</v>
      </c>
      <c r="E70" s="9">
        <v>3.5000000000000003E-2</v>
      </c>
      <c r="F70" s="67">
        <v>520</v>
      </c>
      <c r="G70" s="25">
        <f>(F70-366)/366</f>
        <v>0.42076502732240439</v>
      </c>
      <c r="H70" s="156"/>
      <c r="I70" s="156"/>
    </row>
    <row r="71" spans="1:9">
      <c r="A71" s="124" t="s">
        <v>1208</v>
      </c>
      <c r="B71" s="9">
        <v>0.2</v>
      </c>
      <c r="C71" s="9">
        <v>-0.05</v>
      </c>
      <c r="D71" s="9">
        <v>0.42</v>
      </c>
      <c r="E71" s="9">
        <v>0.03</v>
      </c>
      <c r="F71" s="67">
        <v>300</v>
      </c>
      <c r="G71" s="25">
        <f>(F71-366)/366</f>
        <v>-0.18032786885245902</v>
      </c>
      <c r="H71" s="156"/>
      <c r="I71" s="156"/>
    </row>
    <row r="72" spans="1:9">
      <c r="A72" s="71" t="s">
        <v>1209</v>
      </c>
      <c r="B72" s="9">
        <v>0.1</v>
      </c>
      <c r="C72" s="9">
        <v>-0.12</v>
      </c>
      <c r="D72" s="9">
        <v>0.32</v>
      </c>
      <c r="E72" s="9">
        <v>0.02</v>
      </c>
      <c r="F72" s="67">
        <v>140</v>
      </c>
      <c r="G72" s="25">
        <f>(F72-366)/366</f>
        <v>-0.61748633879781423</v>
      </c>
      <c r="H72" s="156"/>
      <c r="I72" s="156"/>
    </row>
    <row r="73" spans="1:9">
      <c r="A73" s="97" t="s">
        <v>1210</v>
      </c>
      <c r="B73" s="156"/>
      <c r="C73" s="156"/>
      <c r="D73" s="156"/>
      <c r="E73" s="156"/>
      <c r="F73" s="112">
        <f>SUMPRODUCT(B69:B72,F69:F72)</f>
        <v>495.5</v>
      </c>
      <c r="G73" s="29">
        <f>(F73-366)/366</f>
        <v>0.35382513661202186</v>
      </c>
      <c r="H73" s="156"/>
      <c r="I73" s="156"/>
    </row>
    <row r="74" spans="1:9">
      <c r="A74" s="156"/>
      <c r="B74" s="156"/>
      <c r="C74" s="156"/>
      <c r="D74" s="156"/>
      <c r="E74" s="156"/>
      <c r="F74" s="156"/>
      <c r="G74" s="156"/>
      <c r="H74" s="156"/>
      <c r="I74" s="156"/>
    </row>
    <row r="75" spans="1:9">
      <c r="A75" s="95" t="s">
        <v>1211</v>
      </c>
      <c r="B75" s="156"/>
      <c r="C75" s="156"/>
      <c r="D75" s="156"/>
      <c r="E75" s="156"/>
      <c r="F75" s="156"/>
      <c r="G75" s="156"/>
      <c r="H75" s="156"/>
      <c r="I75" s="156"/>
    </row>
    <row r="76" spans="1:9">
      <c r="A76" s="156"/>
      <c r="B76" s="156"/>
      <c r="C76" s="156"/>
      <c r="D76" s="156"/>
      <c r="E76" s="156"/>
      <c r="F76" s="156"/>
      <c r="G76" s="156"/>
      <c r="H76" s="156"/>
      <c r="I76" s="156"/>
    </row>
    <row r="77" spans="1:9">
      <c r="A77" s="51" t="s">
        <v>1212</v>
      </c>
      <c r="B77" s="63">
        <v>55</v>
      </c>
      <c r="C77" s="156"/>
      <c r="D77" s="156"/>
      <c r="E77" s="156"/>
      <c r="F77" s="156"/>
      <c r="G77" s="156"/>
      <c r="H77" s="156"/>
      <c r="I77" s="156"/>
    </row>
    <row r="78" spans="1:9">
      <c r="A78" s="51" t="s">
        <v>1165</v>
      </c>
      <c r="B78" s="63">
        <v>11</v>
      </c>
      <c r="C78" s="156"/>
      <c r="D78" s="156"/>
      <c r="E78" s="156"/>
      <c r="F78" s="156"/>
      <c r="G78" s="156"/>
      <c r="H78" s="156"/>
      <c r="I78" s="156"/>
    </row>
    <row r="79" spans="1:9">
      <c r="A79" s="51" t="s">
        <v>1166</v>
      </c>
      <c r="B79" s="63">
        <v>-25</v>
      </c>
      <c r="C79" s="156"/>
      <c r="D79" s="156"/>
      <c r="E79" s="156"/>
      <c r="F79" s="156"/>
      <c r="G79" s="156"/>
      <c r="H79" s="156"/>
      <c r="I79" s="156"/>
    </row>
    <row r="80" spans="1:9">
      <c r="A80" s="51" t="s">
        <v>1167</v>
      </c>
      <c r="B80" s="63">
        <v>1.2</v>
      </c>
      <c r="C80" s="156"/>
      <c r="D80" s="156"/>
      <c r="E80" s="156"/>
      <c r="F80" s="156"/>
      <c r="G80" s="156"/>
      <c r="H80" s="156"/>
      <c r="I80" s="156"/>
    </row>
    <row r="81" spans="1:9">
      <c r="A81" s="51" t="s">
        <v>1168</v>
      </c>
      <c r="B81" s="63">
        <v>-3</v>
      </c>
      <c r="C81" s="156"/>
      <c r="D81" s="156"/>
      <c r="E81" s="156"/>
      <c r="F81" s="156"/>
      <c r="G81" s="156"/>
      <c r="H81" s="156"/>
      <c r="I81" s="156"/>
    </row>
    <row r="82" spans="1:9">
      <c r="A82" s="151" t="s">
        <v>1213</v>
      </c>
      <c r="B82" s="108">
        <f>SUM(B77:B81)</f>
        <v>39.200000000000003</v>
      </c>
      <c r="C82" s="156"/>
      <c r="D82" s="156"/>
      <c r="E82" s="156"/>
      <c r="F82" s="156"/>
      <c r="G82" s="156"/>
      <c r="H82" s="156"/>
      <c r="I82" s="156"/>
    </row>
    <row r="83" spans="1:9">
      <c r="A83" s="51" t="s">
        <v>1214</v>
      </c>
      <c r="B83" s="63">
        <v>0.4</v>
      </c>
      <c r="C83" s="156"/>
      <c r="D83" s="156"/>
      <c r="E83" s="156"/>
      <c r="F83" s="156"/>
      <c r="G83" s="156"/>
      <c r="H83" s="156"/>
      <c r="I83" s="156"/>
    </row>
    <row r="84" spans="1:9">
      <c r="A84" s="51" t="s">
        <v>1215</v>
      </c>
      <c r="B84" s="63">
        <v>-3.5</v>
      </c>
      <c r="C84" s="156"/>
      <c r="D84" s="156"/>
      <c r="E84" s="156"/>
      <c r="F84" s="156"/>
      <c r="G84" s="156"/>
      <c r="H84" s="156"/>
      <c r="I84" s="156"/>
    </row>
    <row r="85" spans="1:9">
      <c r="A85" s="151" t="s">
        <v>1216</v>
      </c>
      <c r="B85" s="54">
        <f>B82+B83+B84</f>
        <v>36.1</v>
      </c>
      <c r="C85" s="156"/>
      <c r="D85" s="156"/>
      <c r="E85" s="156"/>
      <c r="F85" s="156"/>
      <c r="G85" s="156"/>
      <c r="H85" s="156"/>
      <c r="I85" s="156"/>
    </row>
    <row r="86" spans="1:9">
      <c r="A86" s="156"/>
      <c r="B86" s="156"/>
      <c r="C86" s="156"/>
      <c r="D86" s="156"/>
      <c r="E86" s="156"/>
      <c r="F86" s="156"/>
      <c r="G86" s="156"/>
      <c r="H86" s="156"/>
      <c r="I86" s="156"/>
    </row>
    <row r="87" spans="1:9">
      <c r="A87" s="95" t="s">
        <v>1217</v>
      </c>
      <c r="B87" s="156"/>
      <c r="C87" s="156"/>
      <c r="D87" s="156"/>
      <c r="E87" s="156"/>
      <c r="F87" s="156"/>
      <c r="G87" s="156"/>
      <c r="H87" s="156"/>
      <c r="I87" s="156"/>
    </row>
    <row r="88" spans="1:9">
      <c r="A88" s="38" t="s">
        <v>1218</v>
      </c>
      <c r="B88" s="38" t="s">
        <v>1219</v>
      </c>
      <c r="C88" s="38" t="s">
        <v>1220</v>
      </c>
      <c r="D88" s="38" t="s">
        <v>1221</v>
      </c>
      <c r="E88" s="38" t="s">
        <v>1222</v>
      </c>
      <c r="F88" s="38"/>
      <c r="G88" s="38"/>
      <c r="H88" s="38"/>
      <c r="I88" s="38"/>
    </row>
    <row r="89" spans="1:9">
      <c r="A89" s="51" t="s">
        <v>1223</v>
      </c>
      <c r="B89" s="127">
        <v>300</v>
      </c>
      <c r="C89" s="129">
        <v>520</v>
      </c>
      <c r="D89" s="129">
        <v>750</v>
      </c>
      <c r="E89" s="130">
        <v>366</v>
      </c>
      <c r="F89" s="156"/>
      <c r="G89" s="156"/>
      <c r="H89" s="156"/>
      <c r="I89" s="156"/>
    </row>
    <row r="90" spans="1:9">
      <c r="A90" s="51" t="s">
        <v>1224</v>
      </c>
      <c r="B90" s="127">
        <v>350</v>
      </c>
      <c r="C90" s="128">
        <v>520</v>
      </c>
      <c r="D90" s="129">
        <v>750</v>
      </c>
      <c r="E90" s="130">
        <v>366</v>
      </c>
      <c r="F90" s="156"/>
      <c r="G90" s="156"/>
      <c r="H90" s="156"/>
      <c r="I90" s="156"/>
    </row>
    <row r="91" spans="1:9">
      <c r="A91" s="51" t="s">
        <v>1225</v>
      </c>
      <c r="B91" s="127">
        <v>280</v>
      </c>
      <c r="C91" s="128">
        <v>450</v>
      </c>
      <c r="D91" s="129">
        <v>630</v>
      </c>
      <c r="E91" s="130">
        <v>366</v>
      </c>
      <c r="F91" s="156"/>
      <c r="G91" s="156"/>
      <c r="H91" s="156"/>
      <c r="I91" s="156"/>
    </row>
    <row r="92" spans="1:9">
      <c r="A92" s="51" t="s">
        <v>1226</v>
      </c>
      <c r="B92" s="127">
        <v>320</v>
      </c>
      <c r="C92" s="128">
        <v>480</v>
      </c>
      <c r="D92" s="129">
        <v>700</v>
      </c>
      <c r="E92" s="130">
        <v>366</v>
      </c>
      <c r="F92" s="156"/>
      <c r="G92" s="156"/>
      <c r="H92" s="156"/>
      <c r="I92" s="156"/>
    </row>
    <row r="93" spans="1:9">
      <c r="A93" s="51" t="s">
        <v>1227</v>
      </c>
      <c r="B93" s="129">
        <v>380</v>
      </c>
      <c r="C93" s="128">
        <v>510</v>
      </c>
      <c r="D93" s="129">
        <v>760</v>
      </c>
      <c r="E93" s="130">
        <v>366</v>
      </c>
      <c r="F93" s="156"/>
      <c r="G93" s="156"/>
      <c r="H93" s="156"/>
      <c r="I93" s="156"/>
    </row>
    <row r="94" spans="1:9">
      <c r="A94" s="51" t="s">
        <v>1228</v>
      </c>
      <c r="B94" s="127">
        <v>350</v>
      </c>
      <c r="C94" s="128">
        <v>520</v>
      </c>
      <c r="D94" s="129">
        <v>700</v>
      </c>
      <c r="E94" s="130">
        <v>366</v>
      </c>
      <c r="F94" s="156"/>
      <c r="G94" s="156"/>
      <c r="H94" s="156"/>
      <c r="I94" s="156"/>
    </row>
    <row r="95" spans="1:9">
      <c r="A95" s="51" t="s">
        <v>1229</v>
      </c>
      <c r="B95" s="127">
        <v>250</v>
      </c>
      <c r="C95" s="129">
        <v>490</v>
      </c>
      <c r="D95" s="129">
        <v>750</v>
      </c>
      <c r="E95" s="130">
        <v>366</v>
      </c>
      <c r="F95" s="156"/>
      <c r="G95" s="156"/>
      <c r="H95" s="156"/>
      <c r="I95" s="156"/>
    </row>
    <row r="96" spans="1:9">
      <c r="A96" s="97" t="s">
        <v>1230</v>
      </c>
      <c r="B96" s="28">
        <f>MIN(B89:B95)</f>
        <v>250</v>
      </c>
      <c r="C96" s="28">
        <f>AVERAGE(C89:C95)</f>
        <v>498.57142857142856</v>
      </c>
      <c r="D96" s="28">
        <f>MAX(D89:D95)</f>
        <v>760</v>
      </c>
      <c r="E96" s="156"/>
      <c r="F96" s="156"/>
      <c r="G96" s="156"/>
      <c r="H96" s="156"/>
      <c r="I96" s="156"/>
    </row>
    <row r="97" spans="1:9">
      <c r="A97" s="51" t="s">
        <v>1231</v>
      </c>
      <c r="B97" s="25">
        <f>(B96-366)/366</f>
        <v>-0.31693989071038253</v>
      </c>
      <c r="C97" s="25">
        <f>(C96-366)/366</f>
        <v>0.36221701795472283</v>
      </c>
      <c r="D97" s="25">
        <f>(D96-366)/366</f>
        <v>1.0765027322404372</v>
      </c>
      <c r="E97" s="156"/>
      <c r="F97" s="156"/>
      <c r="G97" s="156"/>
      <c r="H97" s="156"/>
      <c r="I97" s="156"/>
    </row>
    <row r="98" spans="1:9">
      <c r="A98" s="156"/>
      <c r="B98" s="156"/>
      <c r="C98" s="156"/>
      <c r="D98" s="156"/>
      <c r="E98" s="156"/>
      <c r="F98" s="156"/>
      <c r="G98" s="156"/>
      <c r="H98" s="156"/>
      <c r="I98" s="156"/>
    </row>
    <row r="99" spans="1:9">
      <c r="A99" s="95" t="s">
        <v>1232</v>
      </c>
      <c r="B99" s="156"/>
      <c r="C99" s="156"/>
      <c r="D99" s="156"/>
      <c r="E99" s="156"/>
      <c r="F99" s="156"/>
      <c r="G99" s="156"/>
      <c r="H99" s="156"/>
      <c r="I99" s="156"/>
    </row>
    <row r="100" spans="1:9">
      <c r="A100" s="38" t="s">
        <v>1233</v>
      </c>
      <c r="B100" s="38" t="s">
        <v>1234</v>
      </c>
      <c r="C100" s="38" t="s">
        <v>1235</v>
      </c>
      <c r="D100" s="38" t="s">
        <v>1236</v>
      </c>
      <c r="E100" s="38"/>
      <c r="F100" s="38"/>
      <c r="G100" s="38"/>
      <c r="H100" s="38"/>
      <c r="I100" s="38"/>
    </row>
    <row r="101" spans="1:9">
      <c r="A101" s="51" t="s">
        <v>1237</v>
      </c>
      <c r="B101" s="43" t="s">
        <v>1238</v>
      </c>
      <c r="C101" s="43" t="s">
        <v>1239</v>
      </c>
      <c r="D101" s="211" t="s">
        <v>1240</v>
      </c>
      <c r="E101" s="204"/>
      <c r="F101" s="204"/>
      <c r="G101" s="204"/>
      <c r="H101" s="205"/>
      <c r="I101" s="156"/>
    </row>
    <row r="102" spans="1:9">
      <c r="A102" s="51" t="s">
        <v>144</v>
      </c>
      <c r="B102" s="43" t="s">
        <v>1241</v>
      </c>
      <c r="C102" s="43" t="s">
        <v>1242</v>
      </c>
      <c r="D102" s="211" t="s">
        <v>1243</v>
      </c>
      <c r="E102" s="204"/>
      <c r="F102" s="204"/>
      <c r="G102" s="204"/>
      <c r="H102" s="205"/>
      <c r="I102" s="156"/>
    </row>
    <row r="103" spans="1:9">
      <c r="A103" s="51" t="s">
        <v>1244</v>
      </c>
      <c r="B103" s="43" t="s">
        <v>1245</v>
      </c>
      <c r="C103" s="43" t="s">
        <v>1246</v>
      </c>
      <c r="D103" s="211" t="s">
        <v>1247</v>
      </c>
      <c r="E103" s="204"/>
      <c r="F103" s="204"/>
      <c r="G103" s="204"/>
      <c r="H103" s="205"/>
      <c r="I103" s="156"/>
    </row>
    <row r="104" spans="1:9">
      <c r="A104" s="51" t="s">
        <v>1248</v>
      </c>
      <c r="B104" s="43" t="s">
        <v>1249</v>
      </c>
      <c r="C104" s="43" t="s">
        <v>1250</v>
      </c>
      <c r="D104" s="211" t="s">
        <v>1243</v>
      </c>
      <c r="E104" s="204"/>
      <c r="F104" s="204"/>
      <c r="G104" s="204"/>
      <c r="H104" s="205"/>
      <c r="I104" s="156"/>
    </row>
    <row r="105" spans="1:9">
      <c r="A105" s="51" t="s">
        <v>1251</v>
      </c>
      <c r="B105" s="43" t="s">
        <v>1252</v>
      </c>
      <c r="C105" s="43" t="s">
        <v>1253</v>
      </c>
      <c r="D105" s="211" t="s">
        <v>1254</v>
      </c>
      <c r="E105" s="204"/>
      <c r="F105" s="204"/>
      <c r="G105" s="204"/>
      <c r="H105" s="205"/>
      <c r="I105" s="156"/>
    </row>
    <row r="106" spans="1:9">
      <c r="A106" s="51" t="s">
        <v>1255</v>
      </c>
      <c r="B106" s="43" t="s">
        <v>1256</v>
      </c>
      <c r="C106" s="43" t="s">
        <v>1257</v>
      </c>
      <c r="D106" s="211" t="s">
        <v>1258</v>
      </c>
      <c r="E106" s="204"/>
      <c r="F106" s="204"/>
      <c r="G106" s="204"/>
      <c r="H106" s="205"/>
      <c r="I106" s="156"/>
    </row>
    <row r="107" spans="1:9">
      <c r="A107" s="51" t="s">
        <v>1259</v>
      </c>
      <c r="B107" s="43" t="s">
        <v>753</v>
      </c>
      <c r="C107" s="43" t="s">
        <v>1260</v>
      </c>
      <c r="D107" s="211" t="s">
        <v>195</v>
      </c>
      <c r="E107" s="204"/>
      <c r="F107" s="204"/>
      <c r="G107" s="204"/>
      <c r="H107" s="205"/>
      <c r="I107" s="156"/>
    </row>
    <row r="108" spans="1:9">
      <c r="A108" s="51" t="s">
        <v>1261</v>
      </c>
      <c r="B108" s="43" t="s">
        <v>1262</v>
      </c>
      <c r="C108" s="43" t="s">
        <v>1263</v>
      </c>
      <c r="D108" s="211" t="s">
        <v>1264</v>
      </c>
      <c r="E108" s="204"/>
      <c r="F108" s="204"/>
      <c r="G108" s="204"/>
      <c r="H108" s="205"/>
      <c r="I108" s="156"/>
    </row>
  </sheetData>
  <mergeCells count="9">
    <mergeCell ref="A1:I1"/>
    <mergeCell ref="D106:H106"/>
    <mergeCell ref="D102:H102"/>
    <mergeCell ref="D107:H107"/>
    <mergeCell ref="D108:H108"/>
    <mergeCell ref="D105:H105"/>
    <mergeCell ref="D101:H101"/>
    <mergeCell ref="D103:H103"/>
    <mergeCell ref="D104:H104"/>
  </mergeCell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J66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5" customWidth="1"/>
    <col min="2" max="9" width="16" customWidth="1"/>
  </cols>
  <sheetData>
    <row r="1" spans="1:10">
      <c r="A1" s="208" t="s">
        <v>1265</v>
      </c>
      <c r="B1" s="207"/>
      <c r="C1" s="207"/>
      <c r="D1" s="207"/>
      <c r="E1" s="207"/>
      <c r="F1" s="207"/>
      <c r="G1" s="207"/>
      <c r="H1" s="207"/>
      <c r="I1" s="207"/>
      <c r="J1" s="156"/>
    </row>
    <row r="2" spans="1:10">
      <c r="A2" s="1" t="s">
        <v>1266</v>
      </c>
      <c r="B2" s="156"/>
      <c r="C2" s="156"/>
      <c r="D2" s="156"/>
      <c r="E2" s="156"/>
      <c r="F2" s="156"/>
      <c r="G2" s="156"/>
      <c r="H2" s="156"/>
      <c r="I2" s="156"/>
      <c r="J2" s="156"/>
    </row>
    <row r="3" spans="1:10">
      <c r="A3" s="156"/>
      <c r="B3" s="156"/>
      <c r="C3" s="156"/>
      <c r="D3" s="156"/>
      <c r="E3" s="156"/>
      <c r="F3" s="156"/>
      <c r="G3" s="156"/>
      <c r="H3" s="156"/>
      <c r="I3" s="156"/>
      <c r="J3" s="156"/>
    </row>
    <row r="4" spans="1:10">
      <c r="A4" s="95" t="s">
        <v>1267</v>
      </c>
      <c r="B4" s="156"/>
      <c r="C4" s="156"/>
      <c r="D4" s="156"/>
      <c r="E4" s="156"/>
      <c r="F4" s="156"/>
      <c r="G4" s="156"/>
      <c r="H4" s="156"/>
      <c r="I4" s="156"/>
      <c r="J4" s="156"/>
    </row>
    <row r="5" spans="1:10">
      <c r="A5" s="51" t="s">
        <v>1268</v>
      </c>
      <c r="B5" s="18">
        <v>366</v>
      </c>
      <c r="C5" s="156"/>
      <c r="D5" s="156"/>
      <c r="E5" s="156"/>
      <c r="F5" s="156"/>
      <c r="G5" s="156"/>
      <c r="H5" s="156"/>
      <c r="I5" s="156"/>
      <c r="J5" s="156"/>
    </row>
    <row r="6" spans="1:10">
      <c r="A6" s="51" t="s">
        <v>1127</v>
      </c>
      <c r="B6" s="18">
        <v>1142</v>
      </c>
      <c r="C6" s="156"/>
      <c r="D6" s="156"/>
      <c r="E6" s="156"/>
      <c r="F6" s="156"/>
      <c r="G6" s="156"/>
      <c r="H6" s="156"/>
      <c r="I6" s="156"/>
      <c r="J6" s="156"/>
    </row>
    <row r="7" spans="1:10">
      <c r="A7" s="51" t="s">
        <v>1269</v>
      </c>
      <c r="B7" s="46">
        <f>B5*B6/1000</f>
        <v>417.97199999999998</v>
      </c>
      <c r="C7" s="156"/>
      <c r="D7" s="156"/>
      <c r="E7" s="156"/>
      <c r="F7" s="156"/>
      <c r="G7" s="156"/>
      <c r="H7" s="156"/>
      <c r="I7" s="156"/>
      <c r="J7" s="156"/>
    </row>
    <row r="8" spans="1:10">
      <c r="A8" s="51" t="s">
        <v>1270</v>
      </c>
      <c r="B8" s="63">
        <v>10.1</v>
      </c>
      <c r="C8" s="156"/>
      <c r="D8" s="156"/>
      <c r="E8" s="156"/>
      <c r="F8" s="156"/>
      <c r="G8" s="156"/>
      <c r="H8" s="156"/>
      <c r="I8" s="156"/>
      <c r="J8" s="156"/>
    </row>
    <row r="9" spans="1:10">
      <c r="A9" s="51" t="s">
        <v>1271</v>
      </c>
      <c r="B9" s="63">
        <v>16.7</v>
      </c>
      <c r="C9" s="156"/>
      <c r="D9" s="156"/>
      <c r="E9" s="156"/>
      <c r="F9" s="156"/>
      <c r="G9" s="156"/>
      <c r="H9" s="156"/>
      <c r="I9" s="156"/>
      <c r="J9" s="156"/>
    </row>
    <row r="10" spans="1:10">
      <c r="A10" s="51" t="s">
        <v>1182</v>
      </c>
      <c r="B10" s="46">
        <f>B7+B8-B9</f>
        <v>411.37200000000001</v>
      </c>
      <c r="C10" s="156"/>
      <c r="D10" s="156"/>
      <c r="E10" s="156"/>
      <c r="F10" s="156"/>
      <c r="G10" s="156"/>
      <c r="H10" s="156"/>
      <c r="I10" s="156"/>
      <c r="J10" s="156"/>
    </row>
    <row r="11" spans="1:10">
      <c r="A11" s="156"/>
      <c r="B11" s="156"/>
      <c r="C11" s="156"/>
      <c r="D11" s="156"/>
      <c r="E11" s="156"/>
      <c r="F11" s="156"/>
      <c r="G11" s="156"/>
      <c r="H11" s="156"/>
      <c r="I11" s="156"/>
      <c r="J11" s="156"/>
    </row>
    <row r="12" spans="1:10">
      <c r="A12" s="95" t="s">
        <v>1272</v>
      </c>
      <c r="B12" s="156"/>
      <c r="C12" s="156"/>
      <c r="D12" s="156"/>
      <c r="E12" s="156"/>
      <c r="F12" s="156"/>
      <c r="G12" s="156"/>
      <c r="H12" s="156"/>
      <c r="I12" s="156"/>
      <c r="J12" s="156"/>
    </row>
    <row r="13" spans="1:10">
      <c r="A13" s="38" t="s">
        <v>1218</v>
      </c>
      <c r="B13" s="38" t="s">
        <v>126</v>
      </c>
      <c r="C13" s="38" t="s">
        <v>759</v>
      </c>
      <c r="D13" s="38" t="s">
        <v>1273</v>
      </c>
      <c r="E13" s="38" t="s">
        <v>1205</v>
      </c>
      <c r="F13" s="156"/>
      <c r="G13" s="156"/>
      <c r="H13" s="156"/>
      <c r="I13" s="156"/>
      <c r="J13" s="156"/>
    </row>
    <row r="14" spans="1:10">
      <c r="A14" s="3" t="s">
        <v>1274</v>
      </c>
      <c r="B14" s="3" t="s">
        <v>1275</v>
      </c>
      <c r="C14" s="36">
        <f>'Historical P&amp;L'!D35+'Historical P&amp;L'!E35+'Historical P&amp;L'!F35+'Historical P&amp;L'!G35</f>
        <v>21.919999999999998</v>
      </c>
      <c r="D14" s="64">
        <f>B5/C14</f>
        <v>16.697080291970803</v>
      </c>
      <c r="E14" s="156"/>
      <c r="F14" s="156"/>
      <c r="G14" s="156"/>
      <c r="H14" s="156"/>
      <c r="I14" s="156"/>
      <c r="J14" s="156"/>
    </row>
    <row r="15" spans="1:10">
      <c r="A15" s="3" t="s">
        <v>1276</v>
      </c>
      <c r="B15" s="3" t="s">
        <v>245</v>
      </c>
      <c r="C15" s="36">
        <f>'Projected P&amp;L'!H33</f>
        <v>54.939417508710797</v>
      </c>
      <c r="D15" s="12">
        <v>14</v>
      </c>
      <c r="E15" s="65">
        <f>C15*D15</f>
        <v>769.15184512195117</v>
      </c>
      <c r="F15" s="25">
        <f>(E15-B5)/B5</f>
        <v>1.1015077735572436</v>
      </c>
      <c r="G15" s="156"/>
      <c r="H15" s="156"/>
      <c r="I15" s="156"/>
      <c r="J15" s="156"/>
    </row>
    <row r="16" spans="1:10">
      <c r="A16" s="3" t="s">
        <v>1277</v>
      </c>
      <c r="B16" s="3" t="s">
        <v>246</v>
      </c>
      <c r="C16" s="36">
        <f>'Projected P&amp;L'!I33</f>
        <v>53.522430181761301</v>
      </c>
      <c r="D16" s="13">
        <v>12</v>
      </c>
      <c r="E16" s="65">
        <f>C16*D16</f>
        <v>642.26916218113558</v>
      </c>
      <c r="F16" s="25">
        <f>(E16-B5)/B5</f>
        <v>0.7548337764511901</v>
      </c>
      <c r="G16" s="156"/>
      <c r="H16" s="156"/>
      <c r="I16" s="156"/>
      <c r="J16" s="156"/>
    </row>
    <row r="17" spans="1:10">
      <c r="A17" s="14" t="s">
        <v>1278</v>
      </c>
      <c r="B17" s="3" t="s">
        <v>1279</v>
      </c>
      <c r="C17" s="36">
        <f>('Historical P&amp;L'!H35+'Projected P&amp;L'!H33+'Projected P&amp;L'!I33)/3</f>
        <v>38.917282563490694</v>
      </c>
      <c r="D17" s="12">
        <v>15</v>
      </c>
      <c r="E17" s="65">
        <f>C17*D17</f>
        <v>583.75923845236036</v>
      </c>
      <c r="F17" s="25">
        <f>(E17-B5)/B5</f>
        <v>0.59497059686437259</v>
      </c>
      <c r="G17" s="156"/>
      <c r="H17" s="156"/>
      <c r="I17" s="156"/>
      <c r="J17" s="156"/>
    </row>
    <row r="18" spans="1:10">
      <c r="A18" s="3" t="s">
        <v>1280</v>
      </c>
      <c r="B18" s="3" t="s">
        <v>1281</v>
      </c>
      <c r="C18" s="18">
        <v>85</v>
      </c>
      <c r="D18" s="13">
        <v>11</v>
      </c>
      <c r="E18" s="65">
        <f>(C18*D18-B8+B9)*1000/B6</f>
        <v>824.51838879159368</v>
      </c>
      <c r="F18" s="25">
        <f>(E18-B5)/B5</f>
        <v>1.2527824830371412</v>
      </c>
      <c r="G18" s="156"/>
      <c r="H18" s="156"/>
      <c r="I18" s="156"/>
      <c r="J18" s="156"/>
    </row>
    <row r="19" spans="1:10">
      <c r="A19" s="3" t="s">
        <v>1282</v>
      </c>
      <c r="B19" s="3" t="s">
        <v>1283</v>
      </c>
      <c r="C19" s="18">
        <v>35</v>
      </c>
      <c r="D19" s="10">
        <v>0.06</v>
      </c>
      <c r="E19" s="65">
        <f>C19/D19*1000/B6</f>
        <v>510.79976649153537</v>
      </c>
      <c r="F19" s="25">
        <f>(E19-B5)/B5</f>
        <v>0.39562777729927695</v>
      </c>
      <c r="G19" s="156"/>
      <c r="H19" s="156"/>
      <c r="I19" s="156"/>
      <c r="J19" s="156"/>
    </row>
    <row r="20" spans="1:10">
      <c r="A20" s="3" t="s">
        <v>1284</v>
      </c>
      <c r="B20" s="3" t="s">
        <v>1285</v>
      </c>
      <c r="C20" s="66"/>
      <c r="D20" s="156"/>
      <c r="E20" s="67">
        <v>520</v>
      </c>
      <c r="F20" s="25">
        <f>(E20-B5)/B5</f>
        <v>0.42076502732240439</v>
      </c>
      <c r="G20" s="156"/>
      <c r="H20" s="156"/>
      <c r="I20" s="156"/>
      <c r="J20" s="156"/>
    </row>
    <row r="21" spans="1:10">
      <c r="A21" s="156"/>
      <c r="B21" s="156"/>
      <c r="C21" s="156"/>
      <c r="D21" s="156"/>
      <c r="E21" s="156"/>
      <c r="F21" s="156"/>
      <c r="G21" s="156"/>
      <c r="H21" s="156"/>
      <c r="I21" s="156"/>
      <c r="J21" s="156"/>
    </row>
    <row r="22" spans="1:10">
      <c r="A22" s="95" t="s">
        <v>1286</v>
      </c>
      <c r="B22" s="156"/>
      <c r="C22" s="156"/>
      <c r="D22" s="156"/>
      <c r="E22" s="156"/>
      <c r="F22" s="156"/>
      <c r="G22" s="156"/>
      <c r="H22" s="156"/>
      <c r="I22" s="156"/>
      <c r="J22" s="156"/>
    </row>
    <row r="23" spans="1:10">
      <c r="A23" s="38" t="s">
        <v>1199</v>
      </c>
      <c r="B23" s="38" t="s">
        <v>1200</v>
      </c>
      <c r="C23" s="38" t="s">
        <v>1287</v>
      </c>
      <c r="D23" s="38" t="s">
        <v>1288</v>
      </c>
      <c r="E23" s="38" t="s">
        <v>1289</v>
      </c>
      <c r="F23" s="38" t="s">
        <v>1290</v>
      </c>
      <c r="G23" s="156"/>
      <c r="H23" s="156"/>
      <c r="I23" s="156"/>
      <c r="J23" s="156"/>
    </row>
    <row r="24" spans="1:10">
      <c r="A24" s="68" t="s">
        <v>1206</v>
      </c>
      <c r="B24" s="58">
        <f>Assumptions!B30</f>
        <v>0.25</v>
      </c>
      <c r="C24" s="36">
        <f>Assumptions!B42</f>
        <v>60</v>
      </c>
      <c r="D24" s="55">
        <f>Assumptions!B36</f>
        <v>16</v>
      </c>
      <c r="E24" s="65">
        <f>C24*D24</f>
        <v>960</v>
      </c>
      <c r="F24" s="65">
        <f>B24*E24</f>
        <v>240</v>
      </c>
      <c r="G24" s="156"/>
      <c r="H24" s="156"/>
      <c r="I24" s="156"/>
      <c r="J24" s="156"/>
    </row>
    <row r="25" spans="1:10">
      <c r="A25" s="69" t="s">
        <v>1207</v>
      </c>
      <c r="B25" s="58">
        <f>Assumptions!B31</f>
        <v>0.45</v>
      </c>
      <c r="C25" s="36">
        <f>Assumptions!B43</f>
        <v>48</v>
      </c>
      <c r="D25" s="55">
        <f>Assumptions!B37</f>
        <v>12</v>
      </c>
      <c r="E25" s="65">
        <f>C25*D25</f>
        <v>576</v>
      </c>
      <c r="F25" s="65">
        <f>B25*E25</f>
        <v>259.2</v>
      </c>
      <c r="G25" s="156"/>
      <c r="H25" s="156"/>
      <c r="I25" s="156"/>
      <c r="J25" s="156"/>
    </row>
    <row r="26" spans="1:10">
      <c r="A26" s="70" t="s">
        <v>1291</v>
      </c>
      <c r="B26" s="58">
        <f>Assumptions!B32</f>
        <v>0.2</v>
      </c>
      <c r="C26" s="36">
        <f>Assumptions!B44</f>
        <v>30</v>
      </c>
      <c r="D26" s="55">
        <f>Assumptions!B38</f>
        <v>8</v>
      </c>
      <c r="E26" s="65">
        <f>C26*D26</f>
        <v>240</v>
      </c>
      <c r="F26" s="65">
        <f>B26*E26</f>
        <v>48</v>
      </c>
      <c r="G26" s="156"/>
      <c r="H26" s="156"/>
      <c r="I26" s="156"/>
      <c r="J26" s="156"/>
    </row>
    <row r="27" spans="1:10">
      <c r="A27" s="71" t="s">
        <v>1209</v>
      </c>
      <c r="B27" s="58">
        <f>Assumptions!B33</f>
        <v>0.1</v>
      </c>
      <c r="C27" s="36">
        <f>Assumptions!B45</f>
        <v>12</v>
      </c>
      <c r="D27" s="55">
        <f>Assumptions!B39</f>
        <v>6</v>
      </c>
      <c r="E27" s="65">
        <f>C27*D27</f>
        <v>72</v>
      </c>
      <c r="F27" s="65">
        <f>B27*E27</f>
        <v>7.2</v>
      </c>
      <c r="G27" s="156"/>
      <c r="H27" s="156"/>
      <c r="I27" s="156"/>
      <c r="J27" s="156"/>
    </row>
    <row r="28" spans="1:10">
      <c r="A28" s="27" t="s">
        <v>1292</v>
      </c>
      <c r="B28" s="156"/>
      <c r="C28" s="156"/>
      <c r="D28" s="156"/>
      <c r="E28" s="156"/>
      <c r="F28" s="72">
        <f>SUM(F24:F27)</f>
        <v>554.40000000000009</v>
      </c>
      <c r="G28" s="156"/>
      <c r="H28" s="156"/>
      <c r="I28" s="156"/>
      <c r="J28" s="156"/>
    </row>
    <row r="29" spans="1:10">
      <c r="A29" s="15" t="s">
        <v>1188</v>
      </c>
      <c r="B29" s="156"/>
      <c r="C29" s="156"/>
      <c r="D29" s="156"/>
      <c r="E29" s="156"/>
      <c r="F29" s="29">
        <f>(F28-B5)/B5</f>
        <v>0.514754098360656</v>
      </c>
      <c r="G29" s="156"/>
      <c r="H29" s="156"/>
      <c r="I29" s="156"/>
      <c r="J29" s="156"/>
    </row>
    <row r="30" spans="1:10">
      <c r="A30" s="156"/>
      <c r="B30" s="156"/>
      <c r="C30" s="156"/>
      <c r="D30" s="156"/>
      <c r="E30" s="156"/>
      <c r="F30" s="156"/>
      <c r="G30" s="156"/>
      <c r="H30" s="156"/>
      <c r="I30" s="156"/>
      <c r="J30" s="156"/>
    </row>
    <row r="31" spans="1:10">
      <c r="A31" s="95" t="s">
        <v>1293</v>
      </c>
      <c r="B31" s="156"/>
      <c r="C31" s="156"/>
      <c r="D31" s="156"/>
      <c r="E31" s="156"/>
      <c r="F31" s="156"/>
      <c r="G31" s="156"/>
      <c r="H31" s="156"/>
      <c r="I31" s="156"/>
      <c r="J31" s="156"/>
    </row>
    <row r="32" spans="1:10">
      <c r="A32" s="3" t="s">
        <v>1294</v>
      </c>
      <c r="B32" s="37">
        <f>B5/14</f>
        <v>26.142857142857142</v>
      </c>
      <c r="C32" s="156"/>
      <c r="D32" s="156"/>
      <c r="E32" s="156"/>
      <c r="F32" s="156"/>
      <c r="G32" s="156"/>
      <c r="H32" s="156"/>
      <c r="I32" s="156"/>
      <c r="J32" s="156"/>
    </row>
    <row r="33" spans="1:10">
      <c r="A33" s="3" t="s">
        <v>1295</v>
      </c>
      <c r="B33" s="37">
        <f>B5/10</f>
        <v>36.6</v>
      </c>
      <c r="C33" s="156"/>
      <c r="D33" s="156"/>
      <c r="E33" s="156"/>
      <c r="F33" s="156"/>
      <c r="G33" s="156"/>
      <c r="H33" s="156"/>
      <c r="I33" s="156"/>
      <c r="J33" s="156"/>
    </row>
    <row r="34" spans="1:10">
      <c r="A34" s="3" t="s">
        <v>1296</v>
      </c>
      <c r="B34" s="37">
        <f>B5/7</f>
        <v>52.285714285714285</v>
      </c>
      <c r="C34" s="156"/>
      <c r="D34" s="156"/>
      <c r="E34" s="156"/>
      <c r="F34" s="156"/>
      <c r="G34" s="156"/>
      <c r="H34" s="156"/>
      <c r="I34" s="156"/>
      <c r="J34" s="156"/>
    </row>
    <row r="35" spans="1:10">
      <c r="A35" s="156"/>
      <c r="B35" s="156"/>
      <c r="C35" s="156"/>
      <c r="D35" s="156"/>
      <c r="E35" s="156"/>
      <c r="F35" s="156"/>
      <c r="G35" s="156"/>
      <c r="H35" s="156"/>
      <c r="I35" s="156"/>
      <c r="J35" s="156"/>
    </row>
    <row r="36" spans="1:10">
      <c r="A36" s="95" t="s">
        <v>1297</v>
      </c>
      <c r="B36" s="156"/>
      <c r="C36" s="156"/>
      <c r="D36" s="156"/>
      <c r="E36" s="156"/>
      <c r="F36" s="156"/>
      <c r="G36" s="156"/>
      <c r="H36" s="156"/>
      <c r="I36" s="156"/>
      <c r="J36" s="156"/>
    </row>
    <row r="37" spans="1:10">
      <c r="A37" s="73" t="s">
        <v>1298</v>
      </c>
      <c r="B37" s="74">
        <v>20</v>
      </c>
      <c r="C37" s="74">
        <v>25</v>
      </c>
      <c r="D37" s="74">
        <v>30</v>
      </c>
      <c r="E37" s="74">
        <v>35</v>
      </c>
      <c r="F37" s="74">
        <v>40</v>
      </c>
      <c r="G37" s="74">
        <v>42</v>
      </c>
      <c r="H37" s="74">
        <v>45</v>
      </c>
      <c r="I37" s="74">
        <v>50</v>
      </c>
      <c r="J37" s="74">
        <v>55</v>
      </c>
    </row>
    <row r="38" spans="1:10">
      <c r="A38" s="75" t="s">
        <v>1299</v>
      </c>
      <c r="B38" s="76">
        <v>140</v>
      </c>
      <c r="C38" s="76">
        <v>175</v>
      </c>
      <c r="D38" s="76">
        <v>210</v>
      </c>
      <c r="E38" s="76">
        <v>245</v>
      </c>
      <c r="F38" s="76">
        <v>280</v>
      </c>
      <c r="G38" s="76">
        <v>294</v>
      </c>
      <c r="H38" s="77">
        <v>315</v>
      </c>
      <c r="I38" s="78">
        <v>350</v>
      </c>
      <c r="J38" s="78">
        <v>385</v>
      </c>
    </row>
    <row r="39" spans="1:10">
      <c r="A39" s="75" t="s">
        <v>1300</v>
      </c>
      <c r="B39" s="76">
        <v>160</v>
      </c>
      <c r="C39" s="76">
        <v>200</v>
      </c>
      <c r="D39" s="76">
        <v>240</v>
      </c>
      <c r="E39" s="76">
        <v>280</v>
      </c>
      <c r="F39" s="77">
        <v>320</v>
      </c>
      <c r="G39" s="78">
        <v>336</v>
      </c>
      <c r="H39" s="78">
        <v>360</v>
      </c>
      <c r="I39" s="78">
        <v>400</v>
      </c>
      <c r="J39" s="79">
        <v>440</v>
      </c>
    </row>
    <row r="40" spans="1:10">
      <c r="A40" s="75" t="s">
        <v>1301</v>
      </c>
      <c r="B40" s="76">
        <v>200</v>
      </c>
      <c r="C40" s="76">
        <v>250</v>
      </c>
      <c r="D40" s="77">
        <v>300</v>
      </c>
      <c r="E40" s="78">
        <v>350</v>
      </c>
      <c r="F40" s="78">
        <v>400</v>
      </c>
      <c r="G40" s="79">
        <v>420</v>
      </c>
      <c r="H40" s="79">
        <v>450</v>
      </c>
      <c r="I40" s="79">
        <v>500</v>
      </c>
      <c r="J40" s="79">
        <v>550</v>
      </c>
    </row>
    <row r="41" spans="1:10">
      <c r="A41" s="75" t="s">
        <v>1302</v>
      </c>
      <c r="B41" s="76">
        <v>240</v>
      </c>
      <c r="C41" s="77">
        <v>300</v>
      </c>
      <c r="D41" s="78">
        <v>360</v>
      </c>
      <c r="E41" s="79">
        <v>420</v>
      </c>
      <c r="F41" s="79">
        <v>480</v>
      </c>
      <c r="G41" s="79">
        <v>504</v>
      </c>
      <c r="H41" s="79">
        <v>540</v>
      </c>
      <c r="I41" s="79">
        <v>600</v>
      </c>
      <c r="J41" s="79">
        <v>660</v>
      </c>
    </row>
    <row r="42" spans="1:10">
      <c r="A42" s="75" t="s">
        <v>1303</v>
      </c>
      <c r="B42" s="76">
        <v>280</v>
      </c>
      <c r="C42" s="78">
        <v>350</v>
      </c>
      <c r="D42" s="79">
        <v>420</v>
      </c>
      <c r="E42" s="79">
        <v>490</v>
      </c>
      <c r="F42" s="79">
        <v>560</v>
      </c>
      <c r="G42" s="79">
        <v>588</v>
      </c>
      <c r="H42" s="79">
        <v>630</v>
      </c>
      <c r="I42" s="79">
        <v>700</v>
      </c>
      <c r="J42" s="79">
        <v>770</v>
      </c>
    </row>
    <row r="43" spans="1:10">
      <c r="A43" s="75" t="s">
        <v>1304</v>
      </c>
      <c r="B43" s="77">
        <v>300</v>
      </c>
      <c r="C43" s="78">
        <v>375</v>
      </c>
      <c r="D43" s="79">
        <v>450</v>
      </c>
      <c r="E43" s="79">
        <v>525</v>
      </c>
      <c r="F43" s="79">
        <v>600</v>
      </c>
      <c r="G43" s="79">
        <v>630</v>
      </c>
      <c r="H43" s="79">
        <v>675</v>
      </c>
      <c r="I43" s="79">
        <v>750</v>
      </c>
      <c r="J43" s="79">
        <v>825</v>
      </c>
    </row>
    <row r="44" spans="1:10">
      <c r="A44" s="75" t="s">
        <v>1305</v>
      </c>
      <c r="B44" s="77">
        <v>320</v>
      </c>
      <c r="C44" s="78">
        <v>400</v>
      </c>
      <c r="D44" s="79">
        <v>480</v>
      </c>
      <c r="E44" s="79">
        <v>560</v>
      </c>
      <c r="F44" s="79">
        <v>640</v>
      </c>
      <c r="G44" s="79">
        <v>672</v>
      </c>
      <c r="H44" s="79">
        <v>720</v>
      </c>
      <c r="I44" s="79">
        <v>800</v>
      </c>
      <c r="J44" s="79">
        <v>880</v>
      </c>
    </row>
    <row r="45" spans="1:10">
      <c r="A45" s="75" t="s">
        <v>1306</v>
      </c>
      <c r="B45" s="78">
        <v>360</v>
      </c>
      <c r="C45" s="79">
        <v>450</v>
      </c>
      <c r="D45" s="79">
        <v>540</v>
      </c>
      <c r="E45" s="79">
        <v>630</v>
      </c>
      <c r="F45" s="79">
        <v>720</v>
      </c>
      <c r="G45" s="79">
        <v>756</v>
      </c>
      <c r="H45" s="79">
        <v>810</v>
      </c>
      <c r="I45" s="79">
        <v>900</v>
      </c>
      <c r="J45" s="79">
        <v>990</v>
      </c>
    </row>
    <row r="46" spans="1:10">
      <c r="A46" s="75" t="s">
        <v>1307</v>
      </c>
      <c r="B46" s="78">
        <v>400</v>
      </c>
      <c r="C46" s="79">
        <v>500</v>
      </c>
      <c r="D46" s="79">
        <v>600</v>
      </c>
      <c r="E46" s="79">
        <v>700</v>
      </c>
      <c r="F46" s="79">
        <v>800</v>
      </c>
      <c r="G46" s="79">
        <v>840</v>
      </c>
      <c r="H46" s="79">
        <v>900</v>
      </c>
      <c r="I46" s="79">
        <v>1000</v>
      </c>
      <c r="J46" s="79">
        <v>1100</v>
      </c>
    </row>
    <row r="47" spans="1:10">
      <c r="A47" s="156"/>
      <c r="B47" s="156"/>
      <c r="C47" s="156"/>
      <c r="D47" s="156"/>
      <c r="E47" s="156"/>
      <c r="F47" s="156"/>
      <c r="G47" s="156"/>
      <c r="H47" s="156"/>
      <c r="I47" s="156"/>
      <c r="J47" s="156"/>
    </row>
    <row r="48" spans="1:10">
      <c r="A48" s="95" t="s">
        <v>1308</v>
      </c>
      <c r="B48" s="156"/>
      <c r="C48" s="156"/>
      <c r="D48" s="156"/>
      <c r="E48" s="156"/>
      <c r="F48" s="156"/>
      <c r="G48" s="156"/>
      <c r="H48" s="156"/>
      <c r="I48" s="156"/>
      <c r="J48" s="156"/>
    </row>
    <row r="49" spans="1:10">
      <c r="A49" s="38"/>
      <c r="B49" s="38" t="s">
        <v>302</v>
      </c>
      <c r="C49" s="38" t="s">
        <v>303</v>
      </c>
      <c r="D49" s="38" t="s">
        <v>1152</v>
      </c>
      <c r="E49" s="38" t="s">
        <v>485</v>
      </c>
      <c r="F49" s="38"/>
      <c r="G49" s="38"/>
      <c r="H49" s="38"/>
      <c r="I49" s="38"/>
      <c r="J49" s="156"/>
    </row>
    <row r="50" spans="1:10">
      <c r="A50" s="50" t="s">
        <v>1158</v>
      </c>
      <c r="B50" s="18">
        <v>106</v>
      </c>
      <c r="C50" s="18">
        <v>118.5</v>
      </c>
      <c r="D50" s="18">
        <v>105</v>
      </c>
      <c r="E50" s="211" t="s">
        <v>1309</v>
      </c>
      <c r="F50" s="204"/>
      <c r="G50" s="204"/>
      <c r="H50" s="204"/>
      <c r="I50" s="205"/>
      <c r="J50" s="156"/>
    </row>
    <row r="51" spans="1:10">
      <c r="A51" s="51" t="s">
        <v>1310</v>
      </c>
      <c r="B51" s="25">
        <f>B50/37.4-1</f>
        <v>1.8342245989304815</v>
      </c>
      <c r="C51" s="25">
        <f>C50/B50-1</f>
        <v>0.11792452830188682</v>
      </c>
      <c r="D51" s="146">
        <f>D50/C50-1</f>
        <v>-0.11392405063291144</v>
      </c>
      <c r="E51" s="156"/>
      <c r="F51" s="156"/>
      <c r="G51" s="156"/>
      <c r="H51" s="156"/>
      <c r="I51" s="156"/>
      <c r="J51" s="156"/>
    </row>
    <row r="52" spans="1:10">
      <c r="A52" s="50" t="s">
        <v>1311</v>
      </c>
      <c r="B52" s="19">
        <v>35.270000000000003</v>
      </c>
      <c r="C52" s="18">
        <v>48.07</v>
      </c>
      <c r="D52" s="19">
        <v>29.15</v>
      </c>
      <c r="E52" s="211" t="s">
        <v>1312</v>
      </c>
      <c r="F52" s="204"/>
      <c r="G52" s="204"/>
      <c r="H52" s="204"/>
      <c r="I52" s="205"/>
      <c r="J52" s="156"/>
    </row>
    <row r="53" spans="1:10">
      <c r="A53" s="51" t="s">
        <v>1313</v>
      </c>
      <c r="B53" s="19">
        <v>27.85</v>
      </c>
      <c r="C53" s="19">
        <v>27.89</v>
      </c>
      <c r="D53" s="142" t="s">
        <v>1314</v>
      </c>
      <c r="E53" s="211" t="s">
        <v>1315</v>
      </c>
      <c r="F53" s="204"/>
      <c r="G53" s="204"/>
      <c r="H53" s="204"/>
      <c r="I53" s="205"/>
      <c r="J53" s="156"/>
    </row>
    <row r="54" spans="1:10">
      <c r="A54" s="51" t="s">
        <v>1316</v>
      </c>
      <c r="B54" s="18">
        <v>47.99</v>
      </c>
      <c r="C54" s="18">
        <v>79.760000000000005</v>
      </c>
      <c r="D54" s="142" t="s">
        <v>1317</v>
      </c>
      <c r="E54" s="211" t="s">
        <v>1315</v>
      </c>
      <c r="F54" s="204"/>
      <c r="G54" s="204"/>
      <c r="H54" s="204"/>
      <c r="I54" s="205"/>
      <c r="J54" s="156"/>
    </row>
    <row r="55" spans="1:10">
      <c r="A55" s="51" t="s">
        <v>1318</v>
      </c>
      <c r="B55" s="9">
        <v>0.7</v>
      </c>
      <c r="C55" s="9">
        <v>0.6</v>
      </c>
      <c r="D55" s="9">
        <v>0.48</v>
      </c>
      <c r="E55" s="211" t="s">
        <v>1319</v>
      </c>
      <c r="F55" s="204"/>
      <c r="G55" s="204"/>
      <c r="H55" s="204"/>
      <c r="I55" s="205"/>
      <c r="J55" s="156"/>
    </row>
    <row r="56" spans="1:10">
      <c r="A56" s="51" t="s">
        <v>1094</v>
      </c>
      <c r="B56" s="19">
        <v>25</v>
      </c>
      <c r="C56" s="19">
        <v>36</v>
      </c>
      <c r="D56" s="19">
        <v>32</v>
      </c>
      <c r="E56" s="211" t="s">
        <v>1320</v>
      </c>
      <c r="F56" s="204"/>
      <c r="G56" s="204"/>
      <c r="H56" s="204"/>
      <c r="I56" s="205"/>
      <c r="J56" s="156"/>
    </row>
    <row r="57" spans="1:10">
      <c r="A57" s="51" t="s">
        <v>1321</v>
      </c>
      <c r="B57" s="19">
        <v>35</v>
      </c>
      <c r="C57" s="19">
        <v>30</v>
      </c>
      <c r="D57" s="19">
        <v>25</v>
      </c>
      <c r="E57" s="211" t="s">
        <v>1322</v>
      </c>
      <c r="F57" s="204"/>
      <c r="G57" s="204"/>
      <c r="H57" s="204"/>
      <c r="I57" s="205"/>
      <c r="J57" s="156"/>
    </row>
    <row r="58" spans="1:10">
      <c r="A58" s="51" t="s">
        <v>1323</v>
      </c>
      <c r="B58" s="43" t="s">
        <v>154</v>
      </c>
      <c r="C58" s="156"/>
      <c r="D58" s="156"/>
      <c r="E58" s="211" t="s">
        <v>1324</v>
      </c>
      <c r="F58" s="204"/>
      <c r="G58" s="204"/>
      <c r="H58" s="204"/>
      <c r="I58" s="205"/>
      <c r="J58" s="156"/>
    </row>
    <row r="59" spans="1:10">
      <c r="A59" s="145" t="s">
        <v>1325</v>
      </c>
      <c r="B59" s="152">
        <v>492</v>
      </c>
      <c r="C59" s="38" t="s">
        <v>1326</v>
      </c>
      <c r="D59" s="38" t="s">
        <v>1327</v>
      </c>
      <c r="E59" s="195" t="s">
        <v>1328</v>
      </c>
      <c r="F59" s="204"/>
      <c r="G59" s="204"/>
      <c r="H59" s="204"/>
      <c r="I59" s="205"/>
      <c r="J59" s="156"/>
    </row>
    <row r="60" spans="1:10">
      <c r="A60" s="51" t="s">
        <v>1329</v>
      </c>
      <c r="B60" s="51"/>
      <c r="C60" s="43" t="s">
        <v>1330</v>
      </c>
      <c r="D60" s="67">
        <v>700</v>
      </c>
      <c r="E60" s="51" t="s">
        <v>1331</v>
      </c>
      <c r="F60" s="211" t="s">
        <v>1332</v>
      </c>
      <c r="G60" s="204"/>
      <c r="H60" s="204"/>
      <c r="I60" s="205"/>
      <c r="J60" s="156"/>
    </row>
    <row r="61" spans="1:10">
      <c r="A61" s="95" t="s">
        <v>1333</v>
      </c>
      <c r="B61" s="51" t="s">
        <v>1334</v>
      </c>
      <c r="C61" s="43" t="s">
        <v>1335</v>
      </c>
      <c r="D61" s="67">
        <v>525</v>
      </c>
      <c r="E61" s="51" t="s">
        <v>1331</v>
      </c>
      <c r="F61" s="211" t="s">
        <v>1336</v>
      </c>
      <c r="G61" s="204"/>
      <c r="H61" s="204"/>
      <c r="I61" s="205"/>
      <c r="J61" s="156"/>
    </row>
    <row r="62" spans="1:10">
      <c r="A62" s="51" t="s">
        <v>1337</v>
      </c>
      <c r="B62" s="19">
        <v>31.84</v>
      </c>
      <c r="C62" s="43" t="s">
        <v>1330</v>
      </c>
      <c r="D62" s="67">
        <v>500</v>
      </c>
      <c r="E62" s="51" t="s">
        <v>1331</v>
      </c>
      <c r="F62" s="211" t="s">
        <v>1338</v>
      </c>
      <c r="G62" s="204"/>
      <c r="H62" s="204"/>
      <c r="I62" s="205"/>
      <c r="J62" s="156"/>
    </row>
    <row r="63" spans="1:10">
      <c r="A63" s="51" t="s">
        <v>1339</v>
      </c>
      <c r="B63" s="19">
        <v>38.85</v>
      </c>
      <c r="C63" s="43" t="s">
        <v>1335</v>
      </c>
      <c r="D63" s="67">
        <v>500</v>
      </c>
      <c r="E63" s="51" t="s">
        <v>1331</v>
      </c>
      <c r="F63" s="211" t="s">
        <v>1340</v>
      </c>
      <c r="G63" s="204"/>
      <c r="H63" s="204"/>
      <c r="I63" s="205"/>
      <c r="J63" s="156"/>
    </row>
    <row r="64" spans="1:10">
      <c r="A64" s="51" t="s">
        <v>1341</v>
      </c>
      <c r="B64" s="153">
        <v>29.15</v>
      </c>
      <c r="C64" s="43" t="s">
        <v>1342</v>
      </c>
      <c r="D64" s="67">
        <v>470</v>
      </c>
      <c r="E64" s="51" t="s">
        <v>1331</v>
      </c>
      <c r="F64" s="211" t="s">
        <v>1343</v>
      </c>
      <c r="G64" s="204"/>
      <c r="H64" s="204"/>
      <c r="I64" s="205"/>
      <c r="J64" s="156"/>
    </row>
    <row r="65" spans="1:10">
      <c r="A65" s="123" t="s">
        <v>1344</v>
      </c>
      <c r="B65" s="51" t="s">
        <v>1345</v>
      </c>
      <c r="C65" s="43" t="s">
        <v>1330</v>
      </c>
      <c r="D65" s="127">
        <v>425</v>
      </c>
      <c r="E65" s="51" t="s">
        <v>1346</v>
      </c>
      <c r="F65" s="211" t="s">
        <v>1347</v>
      </c>
      <c r="G65" s="204"/>
      <c r="H65" s="204"/>
      <c r="I65" s="205"/>
      <c r="J65" s="156"/>
    </row>
    <row r="66" spans="1:10">
      <c r="A66" s="51" t="s">
        <v>1348</v>
      </c>
      <c r="B66" s="51"/>
      <c r="C66" s="43" t="s">
        <v>1330</v>
      </c>
      <c r="D66" s="156"/>
      <c r="E66" s="51" t="s">
        <v>1331</v>
      </c>
      <c r="F66" s="211" t="s">
        <v>1349</v>
      </c>
      <c r="G66" s="204"/>
      <c r="H66" s="204"/>
      <c r="I66" s="205"/>
      <c r="J66" s="156"/>
    </row>
  </sheetData>
  <mergeCells count="17">
    <mergeCell ref="F66:I66"/>
    <mergeCell ref="A1:I1"/>
    <mergeCell ref="F62:I62"/>
    <mergeCell ref="E52:I52"/>
    <mergeCell ref="F63:I63"/>
    <mergeCell ref="E53:I53"/>
    <mergeCell ref="E58:I58"/>
    <mergeCell ref="E56:I56"/>
    <mergeCell ref="F60:I60"/>
    <mergeCell ref="E57:I57"/>
    <mergeCell ref="E50:I50"/>
    <mergeCell ref="E59:I59"/>
    <mergeCell ref="F65:I65"/>
    <mergeCell ref="F64:I64"/>
    <mergeCell ref="E54:I54"/>
    <mergeCell ref="F61:I61"/>
    <mergeCell ref="E55:I55"/>
  </mergeCells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H65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2" customWidth="1"/>
    <col min="2" max="8" width="14" customWidth="1"/>
  </cols>
  <sheetData>
    <row r="1" spans="1:8">
      <c r="A1" s="208" t="s">
        <v>1350</v>
      </c>
      <c r="B1" s="207"/>
      <c r="C1" s="207"/>
      <c r="D1" s="207"/>
      <c r="E1" s="207"/>
      <c r="F1" s="207"/>
      <c r="G1" s="207"/>
      <c r="H1" s="207"/>
    </row>
    <row r="2" spans="1:8">
      <c r="A2" s="1" t="s">
        <v>1351</v>
      </c>
      <c r="B2" s="156"/>
      <c r="C2" s="156"/>
      <c r="D2" s="156"/>
      <c r="E2" s="156"/>
      <c r="F2" s="156"/>
      <c r="G2" s="156"/>
      <c r="H2" s="156"/>
    </row>
    <row r="3" spans="1:8">
      <c r="A3" s="156"/>
      <c r="B3" s="156"/>
      <c r="C3" s="156"/>
      <c r="D3" s="156"/>
      <c r="E3" s="156"/>
      <c r="F3" s="156"/>
      <c r="G3" s="156"/>
      <c r="H3" s="156"/>
    </row>
    <row r="4" spans="1:8">
      <c r="A4" s="6"/>
      <c r="B4" s="6" t="s">
        <v>1352</v>
      </c>
      <c r="C4" s="6" t="s">
        <v>1353</v>
      </c>
      <c r="D4" s="6" t="s">
        <v>1354</v>
      </c>
      <c r="E4" s="6" t="s">
        <v>302</v>
      </c>
      <c r="F4" s="6" t="s">
        <v>303</v>
      </c>
      <c r="G4" s="6" t="s">
        <v>1152</v>
      </c>
      <c r="H4" s="156"/>
    </row>
    <row r="5" spans="1:8">
      <c r="A5" s="156"/>
      <c r="B5" s="156"/>
      <c r="C5" s="156"/>
      <c r="D5" s="156"/>
      <c r="E5" s="156"/>
      <c r="F5" s="156"/>
      <c r="G5" s="156"/>
      <c r="H5" s="156"/>
    </row>
    <row r="6" spans="1:8">
      <c r="A6" s="95" t="s">
        <v>1355</v>
      </c>
      <c r="B6" s="156"/>
      <c r="C6" s="156"/>
      <c r="D6" s="156"/>
      <c r="E6" s="156"/>
      <c r="F6" s="156"/>
      <c r="G6" s="156"/>
      <c r="H6" s="156"/>
    </row>
    <row r="7" spans="1:8">
      <c r="A7" s="51" t="s">
        <v>1158</v>
      </c>
      <c r="B7" s="63">
        <v>15.5</v>
      </c>
      <c r="C7" s="63">
        <v>25.1</v>
      </c>
      <c r="D7" s="63">
        <v>37.4</v>
      </c>
      <c r="E7" s="18">
        <v>106</v>
      </c>
      <c r="F7" s="18">
        <v>118</v>
      </c>
      <c r="G7" s="18">
        <v>105</v>
      </c>
      <c r="H7" s="156"/>
    </row>
    <row r="8" spans="1:8">
      <c r="A8" s="51" t="s">
        <v>1356</v>
      </c>
      <c r="B8" s="63">
        <v>-5.7</v>
      </c>
      <c r="C8" s="63">
        <v>1.5</v>
      </c>
      <c r="D8" s="63">
        <v>9.5</v>
      </c>
      <c r="E8" s="18">
        <v>68</v>
      </c>
      <c r="F8" s="18">
        <v>62</v>
      </c>
      <c r="G8" s="18">
        <v>40</v>
      </c>
      <c r="H8" s="156"/>
    </row>
    <row r="9" spans="1:8">
      <c r="A9" s="51" t="s">
        <v>270</v>
      </c>
      <c r="B9" s="25">
        <f>B8/B7</f>
        <v>-0.36774193548387096</v>
      </c>
      <c r="C9" s="25">
        <f>C8/C7</f>
        <v>5.97609561752988E-2</v>
      </c>
      <c r="D9" s="25">
        <f>D8/D7</f>
        <v>0.25401069518716579</v>
      </c>
      <c r="E9" s="25">
        <f>E8/E7</f>
        <v>0.64150943396226412</v>
      </c>
      <c r="F9" s="25">
        <f>F8/F7</f>
        <v>0.52542372881355937</v>
      </c>
      <c r="G9" s="25">
        <f>G8/G7</f>
        <v>0.38095238095238093</v>
      </c>
      <c r="H9" s="156"/>
    </row>
    <row r="10" spans="1:8">
      <c r="A10" s="51" t="s">
        <v>1146</v>
      </c>
      <c r="B10" s="9">
        <v>0.151</v>
      </c>
      <c r="C10" s="9">
        <v>0.151</v>
      </c>
      <c r="D10" s="9">
        <v>0.151</v>
      </c>
      <c r="E10" s="9">
        <v>0.151</v>
      </c>
      <c r="F10" s="9">
        <v>0.151</v>
      </c>
      <c r="G10" s="9">
        <v>0.151</v>
      </c>
      <c r="H10" s="156"/>
    </row>
    <row r="11" spans="1:8">
      <c r="A11" s="50" t="s">
        <v>1164</v>
      </c>
      <c r="B11" s="46">
        <f>B8*(1-B10)</f>
        <v>-4.8392999999999997</v>
      </c>
      <c r="C11" s="46">
        <f>C8*(1-C10)</f>
        <v>1.2734999999999999</v>
      </c>
      <c r="D11" s="46">
        <f>D8*(1-D10)</f>
        <v>8.0655000000000001</v>
      </c>
      <c r="E11" s="46">
        <f>E8*(1-E10)</f>
        <v>57.731999999999999</v>
      </c>
      <c r="F11" s="46">
        <f>F8*(1-F10)</f>
        <v>52.637999999999998</v>
      </c>
      <c r="G11" s="46">
        <f>G8*(1-G10)</f>
        <v>33.96</v>
      </c>
      <c r="H11" s="156"/>
    </row>
    <row r="12" spans="1:8">
      <c r="A12" s="156"/>
      <c r="B12" s="156"/>
      <c r="C12" s="156"/>
      <c r="D12" s="156"/>
      <c r="E12" s="156"/>
      <c r="F12" s="156"/>
      <c r="G12" s="156"/>
      <c r="H12" s="156"/>
    </row>
    <row r="13" spans="1:8">
      <c r="A13" s="95" t="s">
        <v>1357</v>
      </c>
      <c r="B13" s="156"/>
      <c r="C13" s="156"/>
      <c r="D13" s="156"/>
      <c r="E13" s="156"/>
      <c r="F13" s="156"/>
      <c r="G13" s="156"/>
      <c r="H13" s="156"/>
    </row>
    <row r="14" spans="1:8">
      <c r="A14" s="51" t="s">
        <v>1358</v>
      </c>
      <c r="B14" s="18">
        <v>34</v>
      </c>
      <c r="C14" s="18">
        <v>36</v>
      </c>
      <c r="D14" s="18">
        <v>40</v>
      </c>
      <c r="E14" s="18">
        <v>55</v>
      </c>
      <c r="F14" s="18">
        <v>73</v>
      </c>
      <c r="G14" s="18">
        <v>85</v>
      </c>
      <c r="H14" s="156"/>
    </row>
    <row r="15" spans="1:8">
      <c r="A15" s="51" t="s">
        <v>1359</v>
      </c>
      <c r="B15" s="18">
        <v>6</v>
      </c>
      <c r="C15" s="18">
        <v>7</v>
      </c>
      <c r="D15" s="18">
        <v>8</v>
      </c>
      <c r="E15" s="18">
        <v>12</v>
      </c>
      <c r="F15" s="18">
        <v>14</v>
      </c>
      <c r="G15" s="18">
        <v>13</v>
      </c>
      <c r="H15" s="156"/>
    </row>
    <row r="16" spans="1:8">
      <c r="A16" s="51" t="s">
        <v>1360</v>
      </c>
      <c r="B16" s="18">
        <v>4</v>
      </c>
      <c r="C16" s="18">
        <v>4</v>
      </c>
      <c r="D16" s="18">
        <v>5</v>
      </c>
      <c r="E16" s="18">
        <v>6</v>
      </c>
      <c r="F16" s="18">
        <v>7</v>
      </c>
      <c r="G16" s="18">
        <v>7</v>
      </c>
      <c r="H16" s="156"/>
    </row>
    <row r="17" spans="1:8">
      <c r="A17" s="50" t="s">
        <v>1361</v>
      </c>
      <c r="B17" s="35">
        <f>B14+B15+B16</f>
        <v>44</v>
      </c>
      <c r="C17" s="35">
        <f>C14+C15+C16</f>
        <v>47</v>
      </c>
      <c r="D17" s="35">
        <f>D14+D15+D16</f>
        <v>53</v>
      </c>
      <c r="E17" s="35">
        <f>E14+E15+E16</f>
        <v>73</v>
      </c>
      <c r="F17" s="35">
        <f>F14+F15+F16</f>
        <v>94</v>
      </c>
      <c r="G17" s="35">
        <f>G14+G15+G16</f>
        <v>105</v>
      </c>
      <c r="H17" s="156"/>
    </row>
    <row r="18" spans="1:8">
      <c r="A18" s="156"/>
      <c r="B18" s="156"/>
      <c r="C18" s="156"/>
      <c r="D18" s="156"/>
      <c r="E18" s="156"/>
      <c r="F18" s="156"/>
      <c r="G18" s="156"/>
      <c r="H18" s="156"/>
    </row>
    <row r="19" spans="1:8">
      <c r="A19" s="95" t="s">
        <v>1362</v>
      </c>
      <c r="B19" s="156"/>
      <c r="C19" s="156"/>
      <c r="D19" s="156"/>
      <c r="E19" s="156"/>
      <c r="F19" s="156"/>
      <c r="G19" s="156"/>
      <c r="H19" s="156"/>
    </row>
    <row r="20" spans="1:8">
      <c r="A20" s="97" t="s">
        <v>1363</v>
      </c>
      <c r="B20" s="107">
        <f>B11/B17</f>
        <v>-0.10998409090909091</v>
      </c>
      <c r="C20" s="107">
        <f>C11/C17</f>
        <v>2.7095744680851061E-2</v>
      </c>
      <c r="D20" s="107">
        <f>D11/D17</f>
        <v>0.15217924528301888</v>
      </c>
      <c r="E20" s="107">
        <f>E11/E17</f>
        <v>0.7908493150684931</v>
      </c>
      <c r="F20" s="107">
        <f>F11/F17</f>
        <v>0.55997872340425525</v>
      </c>
      <c r="G20" s="107">
        <f>G11/G17</f>
        <v>0.32342857142857145</v>
      </c>
      <c r="H20" s="156"/>
    </row>
    <row r="21" spans="1:8">
      <c r="A21" s="51" t="s">
        <v>1150</v>
      </c>
      <c r="B21" s="58">
        <f>DCF!B14</f>
        <v>0.109171928</v>
      </c>
      <c r="C21" s="58">
        <f>DCF!B14</f>
        <v>0.109171928</v>
      </c>
      <c r="D21" s="58">
        <f>DCF!B14</f>
        <v>0.109171928</v>
      </c>
      <c r="E21" s="58">
        <f>DCF!B14</f>
        <v>0.109171928</v>
      </c>
      <c r="F21" s="58">
        <f>DCF!B14</f>
        <v>0.109171928</v>
      </c>
      <c r="G21" s="58">
        <f>DCF!B14</f>
        <v>0.109171928</v>
      </c>
      <c r="H21" s="156"/>
    </row>
    <row r="22" spans="1:8">
      <c r="A22" s="50" t="s">
        <v>1364</v>
      </c>
      <c r="B22" s="114">
        <f>B20-B21</f>
        <v>-0.21915601890909092</v>
      </c>
      <c r="C22" s="114">
        <f>C20-C21</f>
        <v>-8.207618331914894E-2</v>
      </c>
      <c r="D22" s="114">
        <f>D20-D21</f>
        <v>4.3007317283018875E-2</v>
      </c>
      <c r="E22" s="114">
        <f>E20-E21</f>
        <v>0.68167738706849312</v>
      </c>
      <c r="F22" s="114">
        <f>F20-F21</f>
        <v>0.45080679540425528</v>
      </c>
      <c r="G22" s="114">
        <f>G20-G21</f>
        <v>0.21425664342857145</v>
      </c>
      <c r="H22" s="156"/>
    </row>
    <row r="23" spans="1:8">
      <c r="A23" s="51" t="s">
        <v>1365</v>
      </c>
      <c r="B23" s="64">
        <f>B7/B17</f>
        <v>0.35227272727272729</v>
      </c>
      <c r="C23" s="64">
        <f>C7/C17</f>
        <v>0.53404255319148941</v>
      </c>
      <c r="D23" s="64">
        <f>D7/D17</f>
        <v>0.70566037735849052</v>
      </c>
      <c r="E23" s="64">
        <f>E7/E17</f>
        <v>1.452054794520548</v>
      </c>
      <c r="F23" s="64">
        <f>F7/F17</f>
        <v>1.2553191489361701</v>
      </c>
      <c r="G23" s="64">
        <f>G7/G17</f>
        <v>1</v>
      </c>
      <c r="H23" s="156"/>
    </row>
    <row r="24" spans="1:8">
      <c r="A24" s="156"/>
      <c r="B24" s="156"/>
      <c r="C24" s="156"/>
      <c r="D24" s="156"/>
      <c r="E24" s="156"/>
      <c r="F24" s="156"/>
      <c r="G24" s="156"/>
      <c r="H24" s="156"/>
    </row>
    <row r="25" spans="1:8">
      <c r="A25" s="95" t="s">
        <v>1366</v>
      </c>
      <c r="B25" s="156"/>
      <c r="C25" s="156"/>
      <c r="D25" s="156"/>
      <c r="E25" s="156"/>
      <c r="F25" s="156"/>
      <c r="G25" s="156"/>
      <c r="H25" s="156"/>
    </row>
    <row r="26" spans="1:8">
      <c r="A26" s="50" t="s">
        <v>1367</v>
      </c>
      <c r="B26" s="29">
        <f>AVERAGE(B20:G20)</f>
        <v>0.29059125149268311</v>
      </c>
      <c r="C26" s="156"/>
      <c r="D26" s="156"/>
      <c r="E26" s="156"/>
      <c r="F26" s="156"/>
      <c r="G26" s="156"/>
      <c r="H26" s="156"/>
    </row>
    <row r="27" spans="1:8">
      <c r="A27" s="51" t="s">
        <v>1368</v>
      </c>
      <c r="B27" s="25">
        <f>MAX(B20:G20)</f>
        <v>0.7908493150684931</v>
      </c>
      <c r="C27" s="156"/>
      <c r="D27" s="156"/>
      <c r="E27" s="156"/>
      <c r="F27" s="156"/>
      <c r="G27" s="156"/>
      <c r="H27" s="156"/>
    </row>
    <row r="28" spans="1:8">
      <c r="A28" s="51" t="s">
        <v>1369</v>
      </c>
      <c r="B28" s="25">
        <f>MIN(B20:G20)</f>
        <v>-0.10998409090909091</v>
      </c>
      <c r="C28" s="156"/>
      <c r="D28" s="156"/>
      <c r="E28" s="156"/>
      <c r="F28" s="156"/>
      <c r="G28" s="156"/>
      <c r="H28" s="156"/>
    </row>
    <row r="29" spans="1:8">
      <c r="A29" s="51" t="s">
        <v>1370</v>
      </c>
      <c r="B29" s="25">
        <f>STDEV(B20:G20)</f>
        <v>0.33851274726054437</v>
      </c>
      <c r="C29" s="156"/>
      <c r="D29" s="156"/>
      <c r="E29" s="156"/>
      <c r="F29" s="156"/>
      <c r="G29" s="156"/>
      <c r="H29" s="156"/>
    </row>
    <row r="30" spans="1:8">
      <c r="A30" s="156"/>
      <c r="B30" s="156"/>
      <c r="C30" s="156"/>
      <c r="D30" s="156"/>
      <c r="E30" s="156"/>
      <c r="F30" s="156"/>
      <c r="G30" s="156"/>
      <c r="H30" s="156"/>
    </row>
    <row r="31" spans="1:8" ht="54.95" customHeight="1">
      <c r="A31" s="191" t="s">
        <v>1371</v>
      </c>
      <c r="B31" s="207"/>
      <c r="C31" s="207"/>
      <c r="D31" s="207"/>
      <c r="E31" s="207"/>
      <c r="F31" s="207"/>
      <c r="G31" s="207"/>
      <c r="H31" s="207"/>
    </row>
    <row r="32" spans="1:8">
      <c r="A32" s="156"/>
      <c r="B32" s="156"/>
      <c r="C32" s="156"/>
      <c r="D32" s="156"/>
      <c r="E32" s="156"/>
      <c r="F32" s="156"/>
      <c r="G32" s="156"/>
      <c r="H32" s="156"/>
    </row>
    <row r="33" spans="1:8">
      <c r="A33" s="95" t="s">
        <v>1372</v>
      </c>
      <c r="B33" s="156"/>
      <c r="C33" s="156"/>
      <c r="D33" s="156"/>
      <c r="E33" s="156"/>
      <c r="F33" s="156"/>
      <c r="G33" s="156"/>
      <c r="H33" s="156"/>
    </row>
    <row r="34" spans="1:8">
      <c r="A34" s="51" t="s">
        <v>1373</v>
      </c>
      <c r="B34" s="25">
        <f>B11/B7</f>
        <v>-0.31221290322580642</v>
      </c>
      <c r="C34" s="25">
        <f>C11/C7</f>
        <v>5.0737051792828676E-2</v>
      </c>
      <c r="D34" s="25">
        <f>D11/D7</f>
        <v>0.21565508021390375</v>
      </c>
      <c r="E34" s="25">
        <f>E11/E7</f>
        <v>0.54464150943396228</v>
      </c>
      <c r="F34" s="25">
        <f>F11/F7</f>
        <v>0.44608474576271184</v>
      </c>
      <c r="G34" s="25">
        <f>G11/G7</f>
        <v>0.32342857142857145</v>
      </c>
      <c r="H34" s="156"/>
    </row>
    <row r="35" spans="1:8">
      <c r="A35" s="51" t="s">
        <v>1374</v>
      </c>
      <c r="B35" s="115">
        <f>B23</f>
        <v>0.35227272727272729</v>
      </c>
      <c r="C35" s="115">
        <f>C23</f>
        <v>0.53404255319148941</v>
      </c>
      <c r="D35" s="115">
        <f>D23</f>
        <v>0.70566037735849052</v>
      </c>
      <c r="E35" s="115">
        <f>E23</f>
        <v>1.452054794520548</v>
      </c>
      <c r="F35" s="115">
        <f>F23</f>
        <v>1.2553191489361701</v>
      </c>
      <c r="G35" s="115">
        <f>G23</f>
        <v>1</v>
      </c>
      <c r="H35" s="156"/>
    </row>
    <row r="36" spans="1:8">
      <c r="A36" s="51" t="s">
        <v>1375</v>
      </c>
      <c r="B36" s="25">
        <f>B34*B35</f>
        <v>-0.10998409090909091</v>
      </c>
      <c r="C36" s="25">
        <f>C34*C35</f>
        <v>2.7095744680851061E-2</v>
      </c>
      <c r="D36" s="25">
        <f>D34*D35</f>
        <v>0.15217924528301888</v>
      </c>
      <c r="E36" s="25">
        <f>E34*E35</f>
        <v>0.79084931506849321</v>
      </c>
      <c r="F36" s="25">
        <f>F34*F35</f>
        <v>0.55997872340425525</v>
      </c>
      <c r="G36" s="25">
        <f>G34*G35</f>
        <v>0.32342857142857145</v>
      </c>
      <c r="H36" s="156"/>
    </row>
    <row r="37" spans="1:8">
      <c r="A37" s="156"/>
      <c r="B37" s="156"/>
      <c r="C37" s="156"/>
      <c r="D37" s="156"/>
      <c r="E37" s="156"/>
      <c r="F37" s="156"/>
      <c r="G37" s="156"/>
      <c r="H37" s="156"/>
    </row>
    <row r="38" spans="1:8" ht="50.1" customHeight="1">
      <c r="A38" s="191" t="s">
        <v>1376</v>
      </c>
      <c r="B38" s="207"/>
      <c r="C38" s="207"/>
      <c r="D38" s="207"/>
      <c r="E38" s="207"/>
      <c r="F38" s="207"/>
      <c r="G38" s="207"/>
      <c r="H38" s="207"/>
    </row>
    <row r="39" spans="1:8">
      <c r="A39" s="156"/>
      <c r="B39" s="156"/>
      <c r="C39" s="156"/>
      <c r="D39" s="156"/>
      <c r="E39" s="156"/>
      <c r="F39" s="156"/>
      <c r="G39" s="156"/>
      <c r="H39" s="156"/>
    </row>
    <row r="40" spans="1:8">
      <c r="A40" s="95" t="s">
        <v>1377</v>
      </c>
      <c r="B40" s="156"/>
      <c r="C40" s="156"/>
      <c r="D40" s="156"/>
      <c r="E40" s="156"/>
      <c r="F40" s="156"/>
      <c r="G40" s="156"/>
      <c r="H40" s="156"/>
    </row>
    <row r="41" spans="1:8">
      <c r="A41" s="38"/>
      <c r="B41" s="38" t="s">
        <v>1378</v>
      </c>
      <c r="C41" s="38" t="s">
        <v>1379</v>
      </c>
      <c r="D41" s="38" t="s">
        <v>1380</v>
      </c>
      <c r="E41" s="38" t="s">
        <v>1381</v>
      </c>
      <c r="F41" s="38"/>
      <c r="G41" s="38"/>
      <c r="H41" s="38"/>
    </row>
    <row r="42" spans="1:8">
      <c r="A42" s="51" t="s">
        <v>1382</v>
      </c>
      <c r="B42" s="18">
        <v>6.8</v>
      </c>
      <c r="C42" s="18">
        <v>49.6</v>
      </c>
      <c r="D42" s="18">
        <v>-5.0999999999999996</v>
      </c>
      <c r="E42" s="18">
        <v>-18.600000000000001</v>
      </c>
      <c r="F42" s="156"/>
      <c r="G42" s="156"/>
      <c r="H42" s="156"/>
    </row>
    <row r="43" spans="1:8">
      <c r="A43" s="51" t="s">
        <v>1383</v>
      </c>
      <c r="B43" s="18">
        <v>6</v>
      </c>
      <c r="C43" s="18">
        <v>17</v>
      </c>
      <c r="D43" s="18">
        <v>21</v>
      </c>
      <c r="E43" s="18">
        <v>11</v>
      </c>
      <c r="F43" s="156"/>
      <c r="G43" s="156"/>
      <c r="H43" s="156"/>
    </row>
    <row r="44" spans="1:8">
      <c r="A44" s="97" t="s">
        <v>1384</v>
      </c>
      <c r="B44" s="107">
        <f>B42/B43</f>
        <v>1.1333333333333333</v>
      </c>
      <c r="C44" s="107">
        <f>C42/C43</f>
        <v>2.9176470588235297</v>
      </c>
      <c r="D44" s="107">
        <f>D42/D43</f>
        <v>-0.24285714285714283</v>
      </c>
      <c r="E44" s="107">
        <f>E42/E43</f>
        <v>-1.6909090909090911</v>
      </c>
      <c r="F44" s="156"/>
      <c r="G44" s="156"/>
      <c r="H44" s="156"/>
    </row>
    <row r="45" spans="1:8">
      <c r="A45" s="51" t="s">
        <v>1385</v>
      </c>
      <c r="B45" s="131" t="s">
        <v>1386</v>
      </c>
      <c r="C45" s="131" t="s">
        <v>1387</v>
      </c>
      <c r="D45" s="154" t="s">
        <v>1388</v>
      </c>
      <c r="E45" s="132" t="s">
        <v>1389</v>
      </c>
      <c r="F45" s="156"/>
      <c r="G45" s="156"/>
      <c r="H45" s="156"/>
    </row>
    <row r="46" spans="1:8">
      <c r="A46" s="156"/>
      <c r="B46" s="156"/>
      <c r="C46" s="156"/>
      <c r="D46" s="156"/>
      <c r="E46" s="156"/>
      <c r="F46" s="156"/>
      <c r="G46" s="156"/>
      <c r="H46" s="156"/>
    </row>
    <row r="47" spans="1:8" ht="50.1" customHeight="1">
      <c r="A47" s="191" t="s">
        <v>1390</v>
      </c>
      <c r="B47" s="207"/>
      <c r="C47" s="207"/>
      <c r="D47" s="207"/>
      <c r="E47" s="207"/>
      <c r="F47" s="207"/>
      <c r="G47" s="207"/>
      <c r="H47" s="207"/>
    </row>
    <row r="48" spans="1:8">
      <c r="A48" s="156"/>
      <c r="B48" s="156"/>
      <c r="C48" s="156"/>
      <c r="D48" s="156"/>
      <c r="E48" s="156"/>
      <c r="F48" s="156"/>
      <c r="G48" s="156"/>
      <c r="H48" s="156"/>
    </row>
    <row r="49" spans="1:8">
      <c r="A49" s="95" t="s">
        <v>1391</v>
      </c>
      <c r="B49" s="156"/>
      <c r="C49" s="156"/>
      <c r="D49" s="156"/>
      <c r="E49" s="156"/>
      <c r="F49" s="156"/>
      <c r="G49" s="156"/>
      <c r="H49" s="156"/>
    </row>
    <row r="50" spans="1:8">
      <c r="A50" s="38"/>
      <c r="B50" s="38" t="s">
        <v>1352</v>
      </c>
      <c r="C50" s="38" t="s">
        <v>1353</v>
      </c>
      <c r="D50" s="38" t="s">
        <v>1354</v>
      </c>
      <c r="E50" s="38" t="s">
        <v>302</v>
      </c>
      <c r="F50" s="38" t="s">
        <v>303</v>
      </c>
      <c r="G50" s="38" t="s">
        <v>1152</v>
      </c>
      <c r="H50" s="38"/>
    </row>
    <row r="51" spans="1:8">
      <c r="A51" s="51" t="s">
        <v>1164</v>
      </c>
      <c r="B51" s="63">
        <v>-5</v>
      </c>
      <c r="C51" s="63">
        <v>1.3</v>
      </c>
      <c r="D51" s="63">
        <v>8.4</v>
      </c>
      <c r="E51" s="18">
        <v>57.7</v>
      </c>
      <c r="F51" s="18">
        <v>52.6</v>
      </c>
      <c r="G51" s="18">
        <v>34</v>
      </c>
      <c r="H51" s="156"/>
    </row>
    <row r="52" spans="1:8">
      <c r="A52" s="51" t="s">
        <v>1361</v>
      </c>
      <c r="B52" s="18">
        <v>44</v>
      </c>
      <c r="C52" s="18">
        <v>47</v>
      </c>
      <c r="D52" s="18">
        <v>53</v>
      </c>
      <c r="E52" s="18">
        <v>72</v>
      </c>
      <c r="F52" s="18">
        <v>94</v>
      </c>
      <c r="G52" s="18">
        <v>105</v>
      </c>
      <c r="H52" s="156"/>
    </row>
    <row r="53" spans="1:8">
      <c r="A53" s="51" t="s">
        <v>1392</v>
      </c>
      <c r="B53" s="133">
        <f>B52*DCF!$B$14</f>
        <v>4.8035648320000002</v>
      </c>
      <c r="C53" s="133">
        <f>C52*DCF!$B$14</f>
        <v>5.1310806160000002</v>
      </c>
      <c r="D53" s="133">
        <f>D52*DCF!$B$14</f>
        <v>5.7861121840000003</v>
      </c>
      <c r="E53" s="133">
        <f>E52*DCF!$B$14</f>
        <v>7.8603788159999999</v>
      </c>
      <c r="F53" s="133">
        <f>F52*DCF!$B$14</f>
        <v>10.262161232</v>
      </c>
      <c r="G53" s="133">
        <f>G52*DCF!$B$14</f>
        <v>11.46305244</v>
      </c>
      <c r="H53" s="156"/>
    </row>
    <row r="54" spans="1:8">
      <c r="A54" s="97" t="s">
        <v>1393</v>
      </c>
      <c r="B54" s="108">
        <f>B51-B53</f>
        <v>-9.8035648319999993</v>
      </c>
      <c r="C54" s="108">
        <f>C51-C53</f>
        <v>-3.8310806160000004</v>
      </c>
      <c r="D54" s="108">
        <f>D51-D53</f>
        <v>2.6138878160000001</v>
      </c>
      <c r="E54" s="108">
        <f>E51-E53</f>
        <v>49.839621184000002</v>
      </c>
      <c r="F54" s="108">
        <f>F51-F53</f>
        <v>42.337838767999997</v>
      </c>
      <c r="G54" s="108">
        <f>G51-G53</f>
        <v>22.536947560000002</v>
      </c>
      <c r="H54" s="156"/>
    </row>
    <row r="55" spans="1:8">
      <c r="A55" s="51" t="s">
        <v>1394</v>
      </c>
      <c r="B55" s="52">
        <f>B54</f>
        <v>-9.8035648319999993</v>
      </c>
      <c r="C55" s="52">
        <f>B55+C54</f>
        <v>-13.634645448000001</v>
      </c>
      <c r="D55" s="52">
        <f>C55+D54</f>
        <v>-11.020757632</v>
      </c>
      <c r="E55" s="52">
        <f>D55+E54</f>
        <v>38.818863552000003</v>
      </c>
      <c r="F55" s="52">
        <f>E55+F54</f>
        <v>81.156702319999994</v>
      </c>
      <c r="G55" s="52">
        <f>F55+G54</f>
        <v>103.69364988</v>
      </c>
      <c r="H55" s="156"/>
    </row>
    <row r="56" spans="1:8">
      <c r="A56" s="156"/>
      <c r="B56" s="156"/>
      <c r="C56" s="156"/>
      <c r="D56" s="156"/>
      <c r="E56" s="156"/>
      <c r="F56" s="156"/>
      <c r="G56" s="156"/>
      <c r="H56" s="156"/>
    </row>
    <row r="57" spans="1:8">
      <c r="A57" s="95" t="s">
        <v>1395</v>
      </c>
      <c r="B57" s="156"/>
      <c r="C57" s="156"/>
      <c r="D57" s="156"/>
      <c r="E57" s="156"/>
      <c r="F57" s="156"/>
      <c r="G57" s="156"/>
      <c r="H57" s="156"/>
    </row>
    <row r="58" spans="1:8">
      <c r="A58" s="38" t="s">
        <v>570</v>
      </c>
      <c r="B58" s="38" t="s">
        <v>1396</v>
      </c>
      <c r="C58" s="38" t="s">
        <v>1397</v>
      </c>
      <c r="D58" s="38" t="s">
        <v>1398</v>
      </c>
      <c r="E58" s="38" t="s">
        <v>1399</v>
      </c>
      <c r="F58" s="38" t="s">
        <v>1400</v>
      </c>
      <c r="G58" s="38" t="s">
        <v>1401</v>
      </c>
      <c r="H58" s="38"/>
    </row>
    <row r="59" spans="1:8">
      <c r="A59" s="75" t="s">
        <v>1402</v>
      </c>
      <c r="B59" s="9">
        <v>-0.11</v>
      </c>
      <c r="C59" s="9">
        <v>0.03</v>
      </c>
      <c r="D59" s="9">
        <v>0.16</v>
      </c>
      <c r="E59" s="25">
        <f>AVERAGE(B59:D59)</f>
        <v>2.6666666666666668E-2</v>
      </c>
      <c r="F59" s="25">
        <f>STDEV(B59:D59)</f>
        <v>0.13503086067019396</v>
      </c>
      <c r="G59" s="134" t="s">
        <v>1403</v>
      </c>
      <c r="H59" s="156"/>
    </row>
    <row r="60" spans="1:8">
      <c r="A60" s="51" t="s">
        <v>559</v>
      </c>
      <c r="B60" s="9">
        <v>-0.08</v>
      </c>
      <c r="C60" s="9">
        <v>0.12</v>
      </c>
      <c r="D60" s="9">
        <v>0.55000000000000004</v>
      </c>
      <c r="E60" s="25">
        <f>AVERAGE(B60:D60)</f>
        <v>0.19666666666666668</v>
      </c>
      <c r="F60" s="25">
        <f>STDEV(B60:D60)</f>
        <v>0.32192131543800162</v>
      </c>
      <c r="G60" s="134" t="s">
        <v>1403</v>
      </c>
      <c r="H60" s="156"/>
    </row>
    <row r="61" spans="1:8">
      <c r="A61" s="51" t="s">
        <v>1404</v>
      </c>
      <c r="B61" s="9">
        <v>-0.05</v>
      </c>
      <c r="C61" s="9">
        <v>0.02</v>
      </c>
      <c r="D61" s="9">
        <v>0.12</v>
      </c>
      <c r="E61" s="25">
        <f>AVERAGE(B61:D61)</f>
        <v>0.03</v>
      </c>
      <c r="F61" s="25">
        <f>STDEV(B61:D61)</f>
        <v>8.5440037453175313E-2</v>
      </c>
      <c r="G61" s="134" t="s">
        <v>1403</v>
      </c>
      <c r="H61" s="156"/>
    </row>
    <row r="62" spans="1:8">
      <c r="A62" s="51" t="s">
        <v>1405</v>
      </c>
      <c r="B62" s="9">
        <v>0.45</v>
      </c>
      <c r="C62" s="9">
        <v>0.8</v>
      </c>
      <c r="D62" s="9">
        <v>1.2</v>
      </c>
      <c r="E62" s="25">
        <f>AVERAGE(B62:D62)</f>
        <v>0.81666666666666676</v>
      </c>
      <c r="F62" s="25">
        <f>STDEV(B62:D62)</f>
        <v>0.37527767497325648</v>
      </c>
      <c r="G62" s="135" t="s">
        <v>1406</v>
      </c>
      <c r="H62" s="156"/>
    </row>
    <row r="63" spans="1:8">
      <c r="A63" s="51" t="s">
        <v>1407</v>
      </c>
      <c r="B63" s="9">
        <v>0.22</v>
      </c>
      <c r="C63" s="9">
        <v>0.28000000000000003</v>
      </c>
      <c r="D63" s="9">
        <v>0.32</v>
      </c>
      <c r="E63" s="25">
        <f>AVERAGE(B63:D63)</f>
        <v>0.27333333333333337</v>
      </c>
      <c r="F63" s="25">
        <f>STDEV(B63:D63)</f>
        <v>5.0332229568471512E-2</v>
      </c>
      <c r="G63" s="135" t="s">
        <v>1406</v>
      </c>
      <c r="H63" s="156"/>
    </row>
    <row r="64" spans="1:8">
      <c r="A64" s="156"/>
      <c r="B64" s="156"/>
      <c r="C64" s="156"/>
      <c r="D64" s="156"/>
      <c r="E64" s="156"/>
      <c r="F64" s="156"/>
      <c r="G64" s="156"/>
      <c r="H64" s="156"/>
    </row>
    <row r="65" spans="1:8" ht="45" customHeight="1">
      <c r="A65" s="191" t="s">
        <v>1408</v>
      </c>
      <c r="B65" s="207"/>
      <c r="C65" s="207"/>
      <c r="D65" s="207"/>
      <c r="E65" s="207"/>
      <c r="F65" s="207"/>
      <c r="G65" s="207"/>
      <c r="H65" s="207"/>
    </row>
  </sheetData>
  <mergeCells count="5">
    <mergeCell ref="A65:H65"/>
    <mergeCell ref="A38:H38"/>
    <mergeCell ref="A47:H47"/>
    <mergeCell ref="A1:H1"/>
    <mergeCell ref="A31:H31"/>
  </mergeCell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</sheetPr>
  <dimension ref="A1:F24"/>
  <sheetViews>
    <sheetView showGridLines="0" zoomScale="85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25" customWidth="1"/>
    <col min="2" max="6" width="16" customWidth="1"/>
  </cols>
  <sheetData>
    <row r="1" spans="1:6">
      <c r="A1" s="208" t="s">
        <v>1409</v>
      </c>
      <c r="B1" s="207"/>
      <c r="C1" s="207"/>
      <c r="D1" s="207"/>
      <c r="E1" s="207"/>
      <c r="F1" s="207"/>
    </row>
    <row r="2" spans="1:6">
      <c r="A2" s="156"/>
      <c r="B2" s="156"/>
      <c r="C2" s="156"/>
      <c r="D2" s="156"/>
      <c r="E2" s="156"/>
      <c r="F2" s="156"/>
    </row>
    <row r="3" spans="1:6">
      <c r="A3" s="95" t="s">
        <v>1410</v>
      </c>
      <c r="B3" s="156"/>
      <c r="C3" s="156"/>
      <c r="D3" s="156"/>
      <c r="E3" s="156"/>
      <c r="F3" s="156"/>
    </row>
    <row r="4" spans="1:6">
      <c r="A4" s="6" t="s">
        <v>126</v>
      </c>
      <c r="B4" s="6" t="s">
        <v>1402</v>
      </c>
      <c r="C4" s="6" t="s">
        <v>559</v>
      </c>
      <c r="D4" s="6" t="s">
        <v>1404</v>
      </c>
      <c r="E4" s="6" t="s">
        <v>1411</v>
      </c>
      <c r="F4" s="6" t="s">
        <v>1412</v>
      </c>
    </row>
    <row r="5" spans="1:6">
      <c r="A5" s="51" t="s">
        <v>1269</v>
      </c>
      <c r="B5" s="90">
        <v>418</v>
      </c>
      <c r="C5" s="90">
        <v>120</v>
      </c>
      <c r="D5" s="90">
        <v>350</v>
      </c>
      <c r="E5" s="90">
        <v>15</v>
      </c>
      <c r="F5" s="90">
        <v>20</v>
      </c>
    </row>
    <row r="6" spans="1:6">
      <c r="A6" s="51" t="s">
        <v>1413</v>
      </c>
      <c r="B6" s="90">
        <v>37.4</v>
      </c>
      <c r="C6" s="90">
        <v>67</v>
      </c>
      <c r="D6" s="90">
        <v>233</v>
      </c>
      <c r="E6" s="90">
        <v>12</v>
      </c>
      <c r="F6" s="90">
        <v>13</v>
      </c>
    </row>
    <row r="7" spans="1:6">
      <c r="A7" s="51" t="s">
        <v>1414</v>
      </c>
      <c r="B7" s="81">
        <v>0.41</v>
      </c>
      <c r="C7" s="81">
        <v>0.49</v>
      </c>
      <c r="D7" s="81">
        <v>0.13</v>
      </c>
      <c r="E7" s="81">
        <v>0.08</v>
      </c>
      <c r="F7" s="81">
        <v>0.1</v>
      </c>
    </row>
    <row r="8" spans="1:6">
      <c r="A8" s="51" t="s">
        <v>1415</v>
      </c>
      <c r="B8" s="81">
        <v>0.745</v>
      </c>
      <c r="C8" s="81">
        <v>0.57999999999999996</v>
      </c>
      <c r="D8" s="81">
        <v>0.57999999999999996</v>
      </c>
      <c r="E8" s="81">
        <v>0.25</v>
      </c>
      <c r="F8" s="81">
        <v>0.3</v>
      </c>
    </row>
    <row r="9" spans="1:6">
      <c r="A9" s="51" t="s">
        <v>1416</v>
      </c>
      <c r="B9" s="81">
        <v>0.21</v>
      </c>
      <c r="C9" s="81">
        <v>0.62</v>
      </c>
      <c r="D9" s="81">
        <v>0.22</v>
      </c>
      <c r="E9" s="81">
        <v>0</v>
      </c>
      <c r="F9" s="81">
        <v>0</v>
      </c>
    </row>
    <row r="10" spans="1:6">
      <c r="A10" s="51" t="s">
        <v>1417</v>
      </c>
      <c r="B10" s="81">
        <v>0.23</v>
      </c>
      <c r="C10" s="81">
        <v>0.33</v>
      </c>
      <c r="D10" s="81">
        <v>0.38</v>
      </c>
      <c r="E10" s="81">
        <v>0</v>
      </c>
      <c r="F10" s="81">
        <v>0</v>
      </c>
    </row>
    <row r="11" spans="1:6">
      <c r="A11" s="51" t="s">
        <v>1418</v>
      </c>
      <c r="B11" s="81">
        <v>0.12</v>
      </c>
      <c r="C11" s="81">
        <v>0.21</v>
      </c>
      <c r="D11" s="81">
        <v>0.35</v>
      </c>
      <c r="E11" s="81">
        <v>0.14000000000000001</v>
      </c>
      <c r="F11" s="81">
        <v>0.13</v>
      </c>
    </row>
    <row r="12" spans="1:6">
      <c r="A12" s="51" t="s">
        <v>1419</v>
      </c>
      <c r="B12" s="91">
        <v>4.0999999999999996</v>
      </c>
      <c r="C12" s="91">
        <v>6.5</v>
      </c>
      <c r="D12" s="91">
        <v>12</v>
      </c>
      <c r="E12" s="91"/>
      <c r="F12" s="91">
        <v>15</v>
      </c>
    </row>
    <row r="13" spans="1:6">
      <c r="A13" s="51" t="s">
        <v>1420</v>
      </c>
      <c r="B13" s="91">
        <v>11.1</v>
      </c>
      <c r="C13" s="91">
        <v>5.5</v>
      </c>
      <c r="D13" s="91">
        <v>9</v>
      </c>
      <c r="E13" s="91"/>
      <c r="F13" s="91">
        <v>8</v>
      </c>
    </row>
    <row r="14" spans="1:6">
      <c r="A14" s="156"/>
      <c r="B14" s="156"/>
      <c r="C14" s="156"/>
      <c r="D14" s="156"/>
      <c r="E14" s="156"/>
      <c r="F14" s="156"/>
    </row>
    <row r="15" spans="1:6">
      <c r="A15" s="156"/>
      <c r="B15" s="156"/>
      <c r="C15" s="156"/>
      <c r="D15" s="156"/>
      <c r="E15" s="156"/>
      <c r="F15" s="156"/>
    </row>
    <row r="16" spans="1:6">
      <c r="A16" s="95" t="s">
        <v>1421</v>
      </c>
      <c r="B16" s="156"/>
      <c r="C16" s="156"/>
      <c r="D16" s="156"/>
      <c r="E16" s="156"/>
      <c r="F16" s="156"/>
    </row>
    <row r="17" spans="1:6">
      <c r="A17" s="38" t="s">
        <v>1422</v>
      </c>
      <c r="B17" s="38" t="s">
        <v>562</v>
      </c>
      <c r="C17" s="38" t="s">
        <v>559</v>
      </c>
      <c r="D17" s="38" t="s">
        <v>565</v>
      </c>
      <c r="E17" s="156"/>
      <c r="F17" s="156"/>
    </row>
    <row r="18" spans="1:6">
      <c r="A18" s="51" t="s">
        <v>1423</v>
      </c>
      <c r="B18" s="43" t="s">
        <v>413</v>
      </c>
      <c r="C18" s="43" t="s">
        <v>1424</v>
      </c>
      <c r="D18" s="43" t="s">
        <v>1425</v>
      </c>
      <c r="E18" s="156"/>
      <c r="F18" s="156"/>
    </row>
    <row r="19" spans="1:6">
      <c r="A19" s="51" t="s">
        <v>1426</v>
      </c>
      <c r="B19" s="43" t="s">
        <v>1427</v>
      </c>
      <c r="C19" s="43" t="s">
        <v>1428</v>
      </c>
      <c r="D19" s="43" t="s">
        <v>1429</v>
      </c>
      <c r="E19" s="156"/>
      <c r="F19" s="156"/>
    </row>
    <row r="20" spans="1:6">
      <c r="A20" s="51" t="s">
        <v>1430</v>
      </c>
      <c r="B20" s="43" t="s">
        <v>1431</v>
      </c>
      <c r="C20" s="43" t="s">
        <v>1432</v>
      </c>
      <c r="D20" s="43" t="s">
        <v>1433</v>
      </c>
      <c r="E20" s="156"/>
      <c r="F20" s="156"/>
    </row>
    <row r="21" spans="1:6">
      <c r="A21" s="51" t="s">
        <v>1434</v>
      </c>
      <c r="B21" s="92" t="s">
        <v>1435</v>
      </c>
      <c r="C21" s="43" t="s">
        <v>1436</v>
      </c>
      <c r="D21" s="43" t="s">
        <v>1437</v>
      </c>
      <c r="E21" s="156"/>
      <c r="F21" s="156"/>
    </row>
    <row r="22" spans="1:6">
      <c r="A22" s="51" t="s">
        <v>1438</v>
      </c>
      <c r="B22" s="92" t="s">
        <v>1439</v>
      </c>
      <c r="C22" s="43" t="s">
        <v>1440</v>
      </c>
      <c r="D22" s="43" t="s">
        <v>1441</v>
      </c>
      <c r="E22" s="156"/>
      <c r="F22" s="156"/>
    </row>
    <row r="23" spans="1:6">
      <c r="A23" s="51" t="s">
        <v>1442</v>
      </c>
      <c r="B23" s="43" t="s">
        <v>1443</v>
      </c>
      <c r="C23" s="43" t="s">
        <v>1444</v>
      </c>
      <c r="D23" s="43" t="s">
        <v>1444</v>
      </c>
      <c r="E23" s="156"/>
      <c r="F23" s="156"/>
    </row>
    <row r="24" spans="1:6">
      <c r="A24" s="51" t="s">
        <v>1445</v>
      </c>
      <c r="B24" s="43" t="s">
        <v>1446</v>
      </c>
      <c r="C24" s="43" t="s">
        <v>1447</v>
      </c>
      <c r="D24" s="43" t="s">
        <v>1448</v>
      </c>
      <c r="E24" s="156"/>
      <c r="F24" s="156"/>
    </row>
  </sheetData>
  <mergeCells count="1">
    <mergeCell ref="A1:F1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6600"/>
  </sheetPr>
  <dimension ref="A1:F51"/>
  <sheetViews>
    <sheetView showGridLines="0" zoomScale="85" workbookViewId="0">
      <pane ySplit="4" topLeftCell="A5" activePane="bottomLeft" state="frozen"/>
      <selection pane="bottomLeft"/>
    </sheetView>
  </sheetViews>
  <sheetFormatPr defaultRowHeight="15"/>
  <cols>
    <col min="1" max="1" width="30" customWidth="1"/>
    <col min="2" max="2" width="12" customWidth="1"/>
    <col min="3" max="3" width="14" customWidth="1"/>
    <col min="4" max="5" width="35" customWidth="1"/>
    <col min="6" max="6" width="14" customWidth="1"/>
  </cols>
  <sheetData>
    <row r="1" spans="1:6">
      <c r="A1" s="208" t="s">
        <v>1449</v>
      </c>
      <c r="B1" s="207"/>
      <c r="C1" s="207"/>
      <c r="D1" s="207"/>
      <c r="E1" s="207"/>
      <c r="F1" s="207"/>
    </row>
    <row r="2" spans="1:6">
      <c r="A2" s="156"/>
      <c r="B2" s="156"/>
      <c r="C2" s="156"/>
      <c r="D2" s="156"/>
      <c r="E2" s="156"/>
      <c r="F2" s="156"/>
    </row>
    <row r="3" spans="1:6">
      <c r="A3" s="95" t="s">
        <v>1450</v>
      </c>
      <c r="B3" s="156"/>
      <c r="C3" s="156"/>
      <c r="D3" s="156"/>
      <c r="E3" s="156"/>
      <c r="F3" s="156"/>
    </row>
    <row r="4" spans="1:6">
      <c r="A4" s="6" t="s">
        <v>419</v>
      </c>
      <c r="B4" s="6" t="s">
        <v>1200</v>
      </c>
      <c r="C4" s="6" t="s">
        <v>1451</v>
      </c>
      <c r="D4" s="6" t="s">
        <v>1452</v>
      </c>
      <c r="E4" s="6" t="s">
        <v>1453</v>
      </c>
      <c r="F4" s="6" t="s">
        <v>1454</v>
      </c>
    </row>
    <row r="5" spans="1:6">
      <c r="A5" s="80" t="s">
        <v>1455</v>
      </c>
      <c r="B5" s="81">
        <v>0.25</v>
      </c>
      <c r="C5" s="82" t="s">
        <v>1456</v>
      </c>
      <c r="D5" s="83" t="s">
        <v>1457</v>
      </c>
      <c r="E5" s="83" t="s">
        <v>1458</v>
      </c>
      <c r="F5" s="84" t="s">
        <v>1459</v>
      </c>
    </row>
    <row r="6" spans="1:6">
      <c r="A6" s="80" t="s">
        <v>1460</v>
      </c>
      <c r="B6" s="81">
        <v>0.08</v>
      </c>
      <c r="C6" s="82" t="s">
        <v>1461</v>
      </c>
      <c r="D6" s="83" t="s">
        <v>1462</v>
      </c>
      <c r="E6" s="83" t="s">
        <v>1463</v>
      </c>
      <c r="F6" s="85" t="s">
        <v>1464</v>
      </c>
    </row>
    <row r="7" spans="1:6">
      <c r="A7" s="80" t="s">
        <v>1465</v>
      </c>
      <c r="B7" s="81">
        <v>0.15</v>
      </c>
      <c r="C7" s="82" t="s">
        <v>1466</v>
      </c>
      <c r="D7" s="83" t="s">
        <v>1467</v>
      </c>
      <c r="E7" s="83" t="s">
        <v>1468</v>
      </c>
      <c r="F7" s="84" t="s">
        <v>1459</v>
      </c>
    </row>
    <row r="8" spans="1:6">
      <c r="A8" s="80" t="s">
        <v>1469</v>
      </c>
      <c r="B8" s="81">
        <v>0.3</v>
      </c>
      <c r="C8" s="82" t="s">
        <v>1470</v>
      </c>
      <c r="D8" s="83" t="s">
        <v>1471</v>
      </c>
      <c r="E8" s="83" t="s">
        <v>1472</v>
      </c>
      <c r="F8" s="86" t="s">
        <v>1473</v>
      </c>
    </row>
    <row r="9" spans="1:6">
      <c r="A9" s="80" t="s">
        <v>1474</v>
      </c>
      <c r="B9" s="81">
        <v>0.1</v>
      </c>
      <c r="C9" s="82" t="s">
        <v>1475</v>
      </c>
      <c r="D9" s="83" t="s">
        <v>1476</v>
      </c>
      <c r="E9" s="83" t="s">
        <v>1477</v>
      </c>
      <c r="F9" s="86" t="s">
        <v>1473</v>
      </c>
    </row>
    <row r="10" spans="1:6">
      <c r="A10" s="80" t="s">
        <v>1478</v>
      </c>
      <c r="B10" s="81">
        <v>0.2</v>
      </c>
      <c r="C10" s="82" t="s">
        <v>1479</v>
      </c>
      <c r="D10" s="83" t="s">
        <v>1480</v>
      </c>
      <c r="E10" s="83" t="s">
        <v>1481</v>
      </c>
      <c r="F10" s="86" t="s">
        <v>1482</v>
      </c>
    </row>
    <row r="11" spans="1:6">
      <c r="A11" s="80" t="s">
        <v>1483</v>
      </c>
      <c r="B11" s="81">
        <v>0.2</v>
      </c>
      <c r="C11" s="82" t="s">
        <v>1484</v>
      </c>
      <c r="D11" s="83" t="s">
        <v>1485</v>
      </c>
      <c r="E11" s="83" t="s">
        <v>1486</v>
      </c>
      <c r="F11" s="86" t="s">
        <v>1473</v>
      </c>
    </row>
    <row r="12" spans="1:6">
      <c r="A12" s="80" t="s">
        <v>1487</v>
      </c>
      <c r="B12" s="81">
        <v>0.15</v>
      </c>
      <c r="C12" s="82" t="s">
        <v>1470</v>
      </c>
      <c r="D12" s="83" t="s">
        <v>1488</v>
      </c>
      <c r="E12" s="83" t="s">
        <v>1489</v>
      </c>
      <c r="F12" s="86" t="s">
        <v>1473</v>
      </c>
    </row>
    <row r="13" spans="1:6">
      <c r="A13" s="156"/>
      <c r="B13" s="156"/>
      <c r="C13" s="156"/>
      <c r="D13" s="156"/>
      <c r="E13" s="156"/>
      <c r="F13" s="156"/>
    </row>
    <row r="14" spans="1:6">
      <c r="A14" s="156"/>
      <c r="B14" s="156"/>
      <c r="C14" s="156"/>
      <c r="D14" s="156"/>
      <c r="E14" s="156"/>
      <c r="F14" s="156"/>
    </row>
    <row r="15" spans="1:6">
      <c r="A15" s="95" t="s">
        <v>1490</v>
      </c>
      <c r="B15" s="156"/>
      <c r="C15" s="156"/>
      <c r="D15" s="156"/>
      <c r="E15" s="156"/>
      <c r="F15" s="156"/>
    </row>
    <row r="16" spans="1:6">
      <c r="A16" s="6" t="s">
        <v>1491</v>
      </c>
      <c r="B16" s="6" t="s">
        <v>1492</v>
      </c>
      <c r="C16" s="6" t="s">
        <v>1493</v>
      </c>
      <c r="D16" s="6" t="s">
        <v>1494</v>
      </c>
      <c r="E16" s="6" t="s">
        <v>1495</v>
      </c>
      <c r="F16" s="156"/>
    </row>
    <row r="17" spans="1:6">
      <c r="A17" s="51" t="s">
        <v>1496</v>
      </c>
      <c r="B17" s="51" t="s">
        <v>1497</v>
      </c>
      <c r="C17" s="51" t="s">
        <v>1498</v>
      </c>
      <c r="D17" s="51" t="s">
        <v>711</v>
      </c>
      <c r="E17" s="87" t="s">
        <v>1499</v>
      </c>
      <c r="F17" s="156"/>
    </row>
    <row r="18" spans="1:6">
      <c r="A18" s="51" t="s">
        <v>1500</v>
      </c>
      <c r="B18" s="51" t="s">
        <v>1501</v>
      </c>
      <c r="C18" s="51" t="s">
        <v>1502</v>
      </c>
      <c r="D18" s="51" t="s">
        <v>1503</v>
      </c>
      <c r="E18" s="88" t="s">
        <v>1504</v>
      </c>
      <c r="F18" s="156"/>
    </row>
    <row r="19" spans="1:6">
      <c r="A19" s="51" t="s">
        <v>1500</v>
      </c>
      <c r="B19" s="51" t="s">
        <v>1505</v>
      </c>
      <c r="C19" s="51" t="s">
        <v>1506</v>
      </c>
      <c r="D19" s="51" t="s">
        <v>1503</v>
      </c>
      <c r="E19" s="88" t="s">
        <v>1504</v>
      </c>
      <c r="F19" s="156"/>
    </row>
    <row r="20" spans="1:6">
      <c r="A20" s="51" t="s">
        <v>1507</v>
      </c>
      <c r="B20" s="51" t="s">
        <v>1508</v>
      </c>
      <c r="C20" s="51" t="s">
        <v>1509</v>
      </c>
      <c r="D20" s="89" t="s">
        <v>1510</v>
      </c>
      <c r="E20" s="87" t="s">
        <v>1499</v>
      </c>
      <c r="F20" s="156"/>
    </row>
    <row r="21" spans="1:6">
      <c r="A21" s="51" t="s">
        <v>934</v>
      </c>
      <c r="B21" s="51" t="s">
        <v>1511</v>
      </c>
      <c r="C21" s="51" t="s">
        <v>1512</v>
      </c>
      <c r="D21" s="51" t="s">
        <v>1503</v>
      </c>
      <c r="E21" s="87" t="s">
        <v>1499</v>
      </c>
      <c r="F21" s="156"/>
    </row>
    <row r="22" spans="1:6">
      <c r="A22" s="51" t="s">
        <v>1513</v>
      </c>
      <c r="B22" s="51" t="s">
        <v>1514</v>
      </c>
      <c r="C22" s="51" t="s">
        <v>1515</v>
      </c>
      <c r="D22" s="51" t="s">
        <v>1503</v>
      </c>
      <c r="E22" s="88" t="s">
        <v>1504</v>
      </c>
      <c r="F22" s="156"/>
    </row>
    <row r="23" spans="1:6">
      <c r="A23" s="51" t="s">
        <v>1516</v>
      </c>
      <c r="B23" s="51" t="s">
        <v>1517</v>
      </c>
      <c r="C23" s="51" t="s">
        <v>1518</v>
      </c>
      <c r="D23" s="89" t="s">
        <v>1510</v>
      </c>
      <c r="E23" s="88" t="s">
        <v>1504</v>
      </c>
      <c r="F23" s="156"/>
    </row>
    <row r="24" spans="1:6">
      <c r="A24" s="51" t="s">
        <v>1519</v>
      </c>
      <c r="B24" s="51" t="s">
        <v>1520</v>
      </c>
      <c r="C24" s="51" t="s">
        <v>1521</v>
      </c>
      <c r="D24" s="51" t="s">
        <v>721</v>
      </c>
      <c r="E24" s="87" t="s">
        <v>1499</v>
      </c>
      <c r="F24" s="156"/>
    </row>
    <row r="25" spans="1:6">
      <c r="A25" s="51" t="s">
        <v>1522</v>
      </c>
      <c r="B25" s="51" t="s">
        <v>1523</v>
      </c>
      <c r="C25" s="51" t="s">
        <v>1524</v>
      </c>
      <c r="D25" s="51" t="s">
        <v>1503</v>
      </c>
      <c r="E25" s="87" t="s">
        <v>1499</v>
      </c>
      <c r="F25" s="156"/>
    </row>
    <row r="26" spans="1:6">
      <c r="A26" s="51" t="s">
        <v>588</v>
      </c>
      <c r="B26" s="51" t="s">
        <v>1525</v>
      </c>
      <c r="C26" s="51" t="s">
        <v>1526</v>
      </c>
      <c r="D26" s="51" t="s">
        <v>1503</v>
      </c>
      <c r="E26" s="87" t="s">
        <v>1499</v>
      </c>
      <c r="F26" s="156"/>
    </row>
    <row r="27" spans="1:6">
      <c r="A27" s="51" t="s">
        <v>588</v>
      </c>
      <c r="B27" s="51" t="s">
        <v>1527</v>
      </c>
      <c r="C27" s="51" t="s">
        <v>1528</v>
      </c>
      <c r="D27" s="51" t="s">
        <v>721</v>
      </c>
      <c r="E27" s="87" t="s">
        <v>1499</v>
      </c>
      <c r="F27" s="156"/>
    </row>
    <row r="28" spans="1:6">
      <c r="A28" s="156"/>
      <c r="B28" s="156"/>
      <c r="C28" s="156"/>
      <c r="D28" s="156"/>
      <c r="E28" s="156"/>
      <c r="F28" s="156"/>
    </row>
    <row r="29" spans="1:6">
      <c r="A29" s="95" t="s">
        <v>1529</v>
      </c>
      <c r="B29" s="156"/>
      <c r="C29" s="156"/>
      <c r="D29" s="156"/>
      <c r="E29" s="156"/>
      <c r="F29" s="156"/>
    </row>
    <row r="30" spans="1:6">
      <c r="A30" s="6" t="s">
        <v>1491</v>
      </c>
      <c r="B30" s="6" t="s">
        <v>1492</v>
      </c>
      <c r="C30" s="6" t="s">
        <v>484</v>
      </c>
      <c r="D30" s="6" t="s">
        <v>1494</v>
      </c>
      <c r="E30" s="6" t="s">
        <v>1495</v>
      </c>
      <c r="F30" s="6"/>
    </row>
    <row r="31" spans="1:6">
      <c r="A31" s="51" t="s">
        <v>1530</v>
      </c>
      <c r="B31" s="51" t="s">
        <v>1531</v>
      </c>
      <c r="C31" s="51" t="s">
        <v>1532</v>
      </c>
      <c r="D31" s="51" t="s">
        <v>1503</v>
      </c>
      <c r="E31" s="87" t="s">
        <v>1499</v>
      </c>
      <c r="F31" s="156"/>
    </row>
    <row r="32" spans="1:6">
      <c r="A32" s="51" t="s">
        <v>1500</v>
      </c>
      <c r="B32" s="51" t="s">
        <v>1533</v>
      </c>
      <c r="C32" s="51" t="s">
        <v>1534</v>
      </c>
      <c r="D32" s="89" t="s">
        <v>1510</v>
      </c>
      <c r="E32" s="87" t="s">
        <v>1499</v>
      </c>
      <c r="F32" s="156"/>
    </row>
    <row r="33" spans="1:6">
      <c r="A33" s="51" t="s">
        <v>1500</v>
      </c>
      <c r="B33" s="51" t="s">
        <v>1535</v>
      </c>
      <c r="C33" s="51" t="s">
        <v>1536</v>
      </c>
      <c r="D33" s="89" t="s">
        <v>1510</v>
      </c>
      <c r="E33" s="87" t="s">
        <v>1499</v>
      </c>
      <c r="F33" s="156"/>
    </row>
    <row r="34" spans="1:6">
      <c r="A34" s="51" t="s">
        <v>1537</v>
      </c>
      <c r="B34" s="51" t="s">
        <v>1538</v>
      </c>
      <c r="C34" s="51" t="s">
        <v>1539</v>
      </c>
      <c r="D34" s="51" t="s">
        <v>1503</v>
      </c>
      <c r="E34" s="51" t="s">
        <v>1504</v>
      </c>
      <c r="F34" s="156"/>
    </row>
    <row r="35" spans="1:6">
      <c r="A35" s="51" t="s">
        <v>588</v>
      </c>
      <c r="B35" s="51" t="s">
        <v>1540</v>
      </c>
      <c r="C35" s="51" t="s">
        <v>1541</v>
      </c>
      <c r="D35" s="51" t="s">
        <v>721</v>
      </c>
      <c r="E35" s="87" t="s">
        <v>1499</v>
      </c>
      <c r="F35" s="156"/>
    </row>
    <row r="36" spans="1:6">
      <c r="A36" s="156"/>
      <c r="B36" s="156"/>
      <c r="C36" s="156"/>
      <c r="D36" s="156"/>
      <c r="E36" s="156"/>
      <c r="F36" s="156"/>
    </row>
    <row r="37" spans="1:6">
      <c r="A37" s="95" t="s">
        <v>1542</v>
      </c>
      <c r="B37" s="156"/>
      <c r="C37" s="156"/>
      <c r="D37" s="156"/>
      <c r="E37" s="156"/>
      <c r="F37" s="156"/>
    </row>
    <row r="38" spans="1:6">
      <c r="A38" s="38" t="s">
        <v>1051</v>
      </c>
      <c r="B38" s="38" t="s">
        <v>1543</v>
      </c>
      <c r="C38" s="38" t="s">
        <v>1544</v>
      </c>
      <c r="D38" s="38" t="s">
        <v>1200</v>
      </c>
      <c r="E38" s="38" t="s">
        <v>485</v>
      </c>
      <c r="F38" s="38"/>
    </row>
    <row r="39" spans="1:6">
      <c r="A39" s="50" t="s">
        <v>1545</v>
      </c>
      <c r="B39" s="43" t="s">
        <v>1546</v>
      </c>
      <c r="C39" s="51" t="s">
        <v>1547</v>
      </c>
      <c r="D39" s="9">
        <v>0.15</v>
      </c>
      <c r="E39" s="142" t="s">
        <v>1548</v>
      </c>
      <c r="F39" s="156"/>
    </row>
    <row r="40" spans="1:6">
      <c r="A40" s="50" t="s">
        <v>1549</v>
      </c>
      <c r="B40" s="43" t="s">
        <v>1550</v>
      </c>
      <c r="C40" s="51" t="s">
        <v>1551</v>
      </c>
      <c r="D40" s="9">
        <v>0.1</v>
      </c>
      <c r="E40" s="142" t="s">
        <v>1552</v>
      </c>
      <c r="F40" s="156"/>
    </row>
    <row r="41" spans="1:6">
      <c r="A41" s="50" t="s">
        <v>1553</v>
      </c>
      <c r="B41" s="43" t="s">
        <v>1554</v>
      </c>
      <c r="C41" s="51" t="s">
        <v>1555</v>
      </c>
      <c r="D41" s="9">
        <v>0.1</v>
      </c>
      <c r="E41" s="142" t="s">
        <v>1556</v>
      </c>
      <c r="F41" s="156"/>
    </row>
    <row r="42" spans="1:6">
      <c r="A42" s="50" t="s">
        <v>1557</v>
      </c>
      <c r="B42" s="43" t="s">
        <v>1558</v>
      </c>
      <c r="C42" s="51" t="s">
        <v>1559</v>
      </c>
      <c r="D42" s="9">
        <v>0.05</v>
      </c>
      <c r="E42" s="142" t="s">
        <v>1560</v>
      </c>
      <c r="F42" s="156"/>
    </row>
    <row r="43" spans="1:6">
      <c r="A43" s="50" t="s">
        <v>1561</v>
      </c>
      <c r="B43" s="43" t="s">
        <v>1562</v>
      </c>
      <c r="C43" s="51" t="s">
        <v>1563</v>
      </c>
      <c r="D43" s="9">
        <v>0.25</v>
      </c>
      <c r="E43" s="142" t="s">
        <v>1564</v>
      </c>
      <c r="F43" s="156"/>
    </row>
    <row r="44" spans="1:6">
      <c r="A44" s="156"/>
      <c r="B44" s="156"/>
      <c r="C44" s="156"/>
      <c r="D44" s="156"/>
      <c r="E44" s="156"/>
      <c r="F44" s="156"/>
    </row>
    <row r="45" spans="1:6">
      <c r="A45" s="95" t="s">
        <v>1565</v>
      </c>
      <c r="B45" s="156"/>
      <c r="C45" s="156"/>
      <c r="D45" s="156"/>
      <c r="E45" s="156"/>
      <c r="F45" s="156"/>
    </row>
    <row r="46" spans="1:6">
      <c r="A46" s="6" t="s">
        <v>419</v>
      </c>
      <c r="B46" s="6" t="s">
        <v>1200</v>
      </c>
      <c r="C46" s="6" t="s">
        <v>1451</v>
      </c>
      <c r="D46" s="6" t="s">
        <v>1452</v>
      </c>
      <c r="E46" s="6" t="s">
        <v>1566</v>
      </c>
      <c r="F46" s="6"/>
    </row>
    <row r="47" spans="1:6">
      <c r="A47" s="71" t="s">
        <v>1567</v>
      </c>
      <c r="B47" s="9">
        <v>0.6</v>
      </c>
      <c r="C47" s="43" t="s">
        <v>1568</v>
      </c>
      <c r="D47" s="51" t="s">
        <v>1569</v>
      </c>
      <c r="E47" s="51" t="s">
        <v>1570</v>
      </c>
      <c r="F47" s="156"/>
    </row>
    <row r="48" spans="1:6">
      <c r="A48" s="124" t="s">
        <v>1571</v>
      </c>
      <c r="B48" s="9">
        <v>0.2</v>
      </c>
      <c r="C48" s="43" t="s">
        <v>1572</v>
      </c>
      <c r="D48" s="51" t="s">
        <v>1573</v>
      </c>
      <c r="E48" s="51" t="s">
        <v>1574</v>
      </c>
      <c r="F48" s="156"/>
    </row>
    <row r="49" spans="1:6">
      <c r="A49" s="124" t="s">
        <v>1575</v>
      </c>
      <c r="B49" s="9">
        <v>0.3</v>
      </c>
      <c r="C49" s="43" t="s">
        <v>1576</v>
      </c>
      <c r="D49" s="51" t="s">
        <v>1577</v>
      </c>
      <c r="E49" s="51" t="s">
        <v>1578</v>
      </c>
      <c r="F49" s="156"/>
    </row>
    <row r="50" spans="1:6">
      <c r="A50" s="124" t="s">
        <v>1579</v>
      </c>
      <c r="B50" s="9">
        <v>0.35</v>
      </c>
      <c r="C50" s="43" t="s">
        <v>1580</v>
      </c>
      <c r="D50" s="51" t="s">
        <v>1581</v>
      </c>
      <c r="E50" s="51" t="s">
        <v>1582</v>
      </c>
      <c r="F50" s="156"/>
    </row>
    <row r="51" spans="1:6">
      <c r="A51" s="124" t="s">
        <v>1583</v>
      </c>
      <c r="B51" s="9">
        <v>0.25</v>
      </c>
      <c r="C51" s="43" t="s">
        <v>1584</v>
      </c>
      <c r="D51" s="51" t="s">
        <v>1585</v>
      </c>
      <c r="E51" s="51" t="s">
        <v>1586</v>
      </c>
      <c r="F51" s="156"/>
    </row>
  </sheetData>
  <mergeCells count="1">
    <mergeCell ref="A1:F1"/>
  </mergeCell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A1:C62"/>
  <sheetViews>
    <sheetView showGridLines="0" zoomScale="85" workbookViewId="0"/>
  </sheetViews>
  <sheetFormatPr defaultRowHeight="15"/>
  <cols>
    <col min="1" max="1" width="60" customWidth="1"/>
    <col min="2" max="3" width="25" customWidth="1"/>
  </cols>
  <sheetData>
    <row r="1" spans="1:3">
      <c r="A1" s="215" t="s">
        <v>1587</v>
      </c>
      <c r="B1" s="207"/>
      <c r="C1" s="207"/>
    </row>
    <row r="2" spans="1:3">
      <c r="A2" s="156"/>
      <c r="B2" s="156"/>
      <c r="C2" s="156"/>
    </row>
    <row r="3" spans="1:3">
      <c r="A3" s="202" t="s">
        <v>1588</v>
      </c>
      <c r="B3" s="207"/>
      <c r="C3" s="207"/>
    </row>
    <row r="4" spans="1:3">
      <c r="A4" s="15" t="s">
        <v>1589</v>
      </c>
      <c r="B4" s="93">
        <f>Assumptions!B47</f>
        <v>554.40000000000009</v>
      </c>
      <c r="C4" s="116" t="s">
        <v>1590</v>
      </c>
    </row>
    <row r="5" spans="1:3">
      <c r="A5" s="15" t="s">
        <v>1591</v>
      </c>
      <c r="B5" s="60">
        <f>Assumptions!B48</f>
        <v>0.514754098360656</v>
      </c>
      <c r="C5" s="156"/>
    </row>
    <row r="6" spans="1:3">
      <c r="A6" s="156"/>
      <c r="B6" s="156"/>
      <c r="C6" s="156"/>
    </row>
    <row r="7" spans="1:3">
      <c r="A7" s="216" t="s">
        <v>1592</v>
      </c>
      <c r="B7" s="217"/>
      <c r="C7" s="217"/>
    </row>
    <row r="8" spans="1:3" ht="50.1" customHeight="1">
      <c r="A8" s="203" t="s">
        <v>1593</v>
      </c>
      <c r="B8" s="207"/>
      <c r="C8" s="207"/>
    </row>
    <row r="9" spans="1:3" ht="50.1" customHeight="1">
      <c r="A9" s="203" t="s">
        <v>1594</v>
      </c>
      <c r="B9" s="207"/>
      <c r="C9" s="207"/>
    </row>
    <row r="10" spans="1:3" ht="50.1" customHeight="1">
      <c r="A10" s="203" t="s">
        <v>1595</v>
      </c>
      <c r="B10" s="207"/>
      <c r="C10" s="207"/>
    </row>
    <row r="11" spans="1:3">
      <c r="A11" s="156"/>
      <c r="B11" s="156"/>
      <c r="C11" s="156"/>
    </row>
    <row r="12" spans="1:3">
      <c r="A12" s="216" t="s">
        <v>1596</v>
      </c>
      <c r="B12" s="217"/>
      <c r="C12" s="217"/>
    </row>
    <row r="13" spans="1:3">
      <c r="A13" s="218" t="s">
        <v>1597</v>
      </c>
      <c r="B13" s="207"/>
      <c r="C13" s="207"/>
    </row>
    <row r="14" spans="1:3" ht="35.1" customHeight="1">
      <c r="A14" s="201" t="s">
        <v>1598</v>
      </c>
      <c r="B14" s="207"/>
      <c r="C14" s="207"/>
    </row>
    <row r="15" spans="1:3">
      <c r="A15" s="219" t="s">
        <v>1599</v>
      </c>
      <c r="B15" s="207"/>
      <c r="C15" s="207"/>
    </row>
    <row r="16" spans="1:3" ht="35.1" customHeight="1">
      <c r="A16" s="201" t="s">
        <v>1600</v>
      </c>
      <c r="B16" s="207"/>
      <c r="C16" s="207"/>
    </row>
    <row r="17" spans="1:3">
      <c r="A17" s="220" t="s">
        <v>1601</v>
      </c>
      <c r="B17" s="207"/>
      <c r="C17" s="207"/>
    </row>
    <row r="18" spans="1:3" ht="35.1" customHeight="1">
      <c r="A18" s="201" t="s">
        <v>1602</v>
      </c>
      <c r="B18" s="207"/>
      <c r="C18" s="207"/>
    </row>
    <row r="19" spans="1:3">
      <c r="A19" s="221" t="s">
        <v>1603</v>
      </c>
      <c r="B19" s="207"/>
      <c r="C19" s="207"/>
    </row>
    <row r="20" spans="1:3" ht="35.1" customHeight="1">
      <c r="A20" s="201" t="s">
        <v>1604</v>
      </c>
      <c r="B20" s="207"/>
      <c r="C20" s="207"/>
    </row>
    <row r="21" spans="1:3">
      <c r="A21" s="156"/>
      <c r="B21" s="156"/>
      <c r="C21" s="156"/>
    </row>
    <row r="22" spans="1:3">
      <c r="A22" s="216" t="s">
        <v>1605</v>
      </c>
      <c r="B22" s="217"/>
      <c r="C22" s="217"/>
    </row>
    <row r="23" spans="1:3" ht="35.1" customHeight="1">
      <c r="A23" s="201" t="s">
        <v>1606</v>
      </c>
      <c r="B23" s="207"/>
      <c r="C23" s="207"/>
    </row>
    <row r="24" spans="1:3" ht="35.1" customHeight="1">
      <c r="A24" s="201" t="s">
        <v>1607</v>
      </c>
      <c r="B24" s="207"/>
      <c r="C24" s="207"/>
    </row>
    <row r="25" spans="1:3" ht="35.1" customHeight="1">
      <c r="A25" s="201" t="s">
        <v>1608</v>
      </c>
      <c r="B25" s="207"/>
      <c r="C25" s="207"/>
    </row>
    <row r="26" spans="1:3">
      <c r="A26" s="156"/>
      <c r="B26" s="156"/>
      <c r="C26" s="156"/>
    </row>
    <row r="27" spans="1:3">
      <c r="A27" s="216" t="s">
        <v>1609</v>
      </c>
      <c r="B27" s="217"/>
      <c r="C27" s="217"/>
    </row>
    <row r="28" spans="1:3">
      <c r="A28" s="222" t="s">
        <v>1610</v>
      </c>
      <c r="B28" s="207"/>
      <c r="C28" s="207"/>
    </row>
    <row r="29" spans="1:3">
      <c r="A29" s="223" t="s">
        <v>1611</v>
      </c>
      <c r="B29" s="207"/>
      <c r="C29" s="207"/>
    </row>
    <row r="30" spans="1:3">
      <c r="A30" s="223" t="s">
        <v>1612</v>
      </c>
      <c r="B30" s="207"/>
      <c r="C30" s="207"/>
    </row>
    <row r="31" spans="1:3">
      <c r="A31" s="223" t="s">
        <v>1613</v>
      </c>
      <c r="B31" s="207"/>
      <c r="C31" s="207"/>
    </row>
    <row r="32" spans="1:3">
      <c r="A32" s="223" t="s">
        <v>1614</v>
      </c>
      <c r="B32" s="207"/>
      <c r="C32" s="207"/>
    </row>
    <row r="33" spans="1:3">
      <c r="A33" s="224" t="s">
        <v>1615</v>
      </c>
      <c r="B33" s="207"/>
      <c r="C33" s="207"/>
    </row>
    <row r="34" spans="1:3">
      <c r="A34" s="225" t="s">
        <v>1616</v>
      </c>
      <c r="B34" s="207"/>
      <c r="C34" s="207"/>
    </row>
    <row r="35" spans="1:3">
      <c r="A35" s="225" t="s">
        <v>1617</v>
      </c>
      <c r="B35" s="207"/>
      <c r="C35" s="207"/>
    </row>
    <row r="36" spans="1:3">
      <c r="A36" s="225" t="s">
        <v>1618</v>
      </c>
      <c r="B36" s="207"/>
      <c r="C36" s="207"/>
    </row>
    <row r="37" spans="1:3">
      <c r="A37" s="225" t="s">
        <v>1619</v>
      </c>
      <c r="B37" s="207"/>
      <c r="C37" s="207"/>
    </row>
    <row r="38" spans="1:3">
      <c r="A38" s="156"/>
      <c r="B38" s="156"/>
      <c r="C38" s="156"/>
    </row>
    <row r="39" spans="1:3">
      <c r="A39" s="216" t="s">
        <v>1620</v>
      </c>
      <c r="B39" s="217"/>
      <c r="C39" s="217"/>
    </row>
    <row r="40" spans="1:3">
      <c r="A40" s="226" t="s">
        <v>1621</v>
      </c>
      <c r="B40" s="207"/>
      <c r="C40" s="207"/>
    </row>
    <row r="41" spans="1:3">
      <c r="A41" s="226" t="s">
        <v>1622</v>
      </c>
      <c r="B41" s="207"/>
      <c r="C41" s="207"/>
    </row>
    <row r="42" spans="1:3">
      <c r="A42" s="226" t="s">
        <v>1623</v>
      </c>
      <c r="B42" s="207"/>
      <c r="C42" s="207"/>
    </row>
    <row r="43" spans="1:3">
      <c r="A43" s="227" t="s">
        <v>1624</v>
      </c>
      <c r="B43" s="207"/>
      <c r="C43" s="207"/>
    </row>
    <row r="44" spans="1:3">
      <c r="A44" s="227" t="s">
        <v>1625</v>
      </c>
      <c r="B44" s="207"/>
      <c r="C44" s="207"/>
    </row>
    <row r="45" spans="1:3">
      <c r="A45" s="216" t="s">
        <v>1626</v>
      </c>
      <c r="B45" s="217"/>
      <c r="C45" s="217"/>
    </row>
    <row r="46" spans="1:3">
      <c r="A46" s="226" t="s">
        <v>508</v>
      </c>
      <c r="B46" s="207"/>
      <c r="C46" s="207"/>
    </row>
    <row r="47" spans="1:3">
      <c r="A47" s="226" t="s">
        <v>1627</v>
      </c>
      <c r="B47" s="207"/>
      <c r="C47" s="207"/>
    </row>
    <row r="48" spans="1:3">
      <c r="A48" s="226" t="s">
        <v>1628</v>
      </c>
      <c r="B48" s="207"/>
      <c r="C48" s="207"/>
    </row>
    <row r="49" spans="1:3">
      <c r="A49" s="228" t="s">
        <v>1629</v>
      </c>
      <c r="B49" s="207"/>
      <c r="C49" s="207"/>
    </row>
    <row r="50" spans="1:3">
      <c r="A50" s="221" t="s">
        <v>1630</v>
      </c>
      <c r="B50" s="207"/>
      <c r="C50" s="207"/>
    </row>
    <row r="51" spans="1:3">
      <c r="A51" s="156"/>
      <c r="B51" s="156"/>
      <c r="C51" s="156"/>
    </row>
    <row r="52" spans="1:3">
      <c r="A52" s="209" t="s">
        <v>1631</v>
      </c>
      <c r="B52" s="207"/>
      <c r="C52" s="207"/>
    </row>
    <row r="53" spans="1:3">
      <c r="A53" s="229" t="s">
        <v>1632</v>
      </c>
      <c r="B53" s="207"/>
      <c r="C53" s="207"/>
    </row>
    <row r="54" spans="1:3">
      <c r="A54" s="216" t="s">
        <v>1633</v>
      </c>
      <c r="B54" s="217"/>
      <c r="C54" s="217"/>
    </row>
    <row r="55" spans="1:3">
      <c r="A55" s="230" t="s">
        <v>1634</v>
      </c>
      <c r="B55" s="207"/>
      <c r="C55" s="207"/>
    </row>
    <row r="56" spans="1:3">
      <c r="A56" s="230" t="s">
        <v>1635</v>
      </c>
      <c r="B56" s="207"/>
      <c r="C56" s="207"/>
    </row>
    <row r="57" spans="1:3">
      <c r="A57" s="230" t="s">
        <v>1636</v>
      </c>
      <c r="B57" s="207"/>
      <c r="C57" s="207"/>
    </row>
    <row r="58" spans="1:3">
      <c r="A58" s="230" t="s">
        <v>1637</v>
      </c>
      <c r="B58" s="207"/>
      <c r="C58" s="207"/>
    </row>
    <row r="59" spans="1:3">
      <c r="A59" s="230" t="s">
        <v>1638</v>
      </c>
      <c r="B59" s="207"/>
      <c r="C59" s="207"/>
    </row>
    <row r="60" spans="1:3">
      <c r="A60" s="230" t="s">
        <v>1639</v>
      </c>
      <c r="B60" s="207"/>
      <c r="C60" s="207"/>
    </row>
    <row r="61" spans="1:3">
      <c r="A61" s="230" t="s">
        <v>1640</v>
      </c>
      <c r="B61" s="207"/>
      <c r="C61" s="207"/>
    </row>
    <row r="62" spans="1:3">
      <c r="A62" s="230" t="s">
        <v>1641</v>
      </c>
      <c r="B62" s="207"/>
      <c r="C62" s="207"/>
    </row>
  </sheetData>
  <mergeCells count="53">
    <mergeCell ref="A61:C61"/>
    <mergeCell ref="A7:C7"/>
    <mergeCell ref="A16:C16"/>
    <mergeCell ref="A60:C60"/>
    <mergeCell ref="A36:C36"/>
    <mergeCell ref="A49:C49"/>
    <mergeCell ref="A1:C1"/>
    <mergeCell ref="A45:C45"/>
    <mergeCell ref="A62:C62"/>
    <mergeCell ref="A53:C53"/>
    <mergeCell ref="A35:C35"/>
    <mergeCell ref="A29:C29"/>
    <mergeCell ref="A20:C20"/>
    <mergeCell ref="A43:C43"/>
    <mergeCell ref="A52:C52"/>
    <mergeCell ref="A28:C28"/>
    <mergeCell ref="A44:C44"/>
    <mergeCell ref="A31:C31"/>
    <mergeCell ref="A58:C58"/>
    <mergeCell ref="A40:C40"/>
    <mergeCell ref="A30:C30"/>
    <mergeCell ref="A39:C39"/>
    <mergeCell ref="A34:C34"/>
    <mergeCell ref="A59:C59"/>
    <mergeCell ref="A57:C57"/>
    <mergeCell ref="A54:C54"/>
    <mergeCell ref="A42:C42"/>
    <mergeCell ref="A33:C33"/>
    <mergeCell ref="A47:C47"/>
    <mergeCell ref="A48:C48"/>
    <mergeCell ref="A56:C56"/>
    <mergeCell ref="A3:C3"/>
    <mergeCell ref="A55:C55"/>
    <mergeCell ref="A12:C12"/>
    <mergeCell ref="A50:C50"/>
    <mergeCell ref="A23:C23"/>
    <mergeCell ref="A32:C32"/>
    <mergeCell ref="A8:C8"/>
    <mergeCell ref="A14:C14"/>
    <mergeCell ref="A22:C22"/>
    <mergeCell ref="A17:C17"/>
    <mergeCell ref="A10:C10"/>
    <mergeCell ref="A13:C13"/>
    <mergeCell ref="A19:C19"/>
    <mergeCell ref="A9:C9"/>
    <mergeCell ref="A15:C15"/>
    <mergeCell ref="A25:C25"/>
    <mergeCell ref="A41:C41"/>
    <mergeCell ref="A37:C37"/>
    <mergeCell ref="A46:C46"/>
    <mergeCell ref="A18:C18"/>
    <mergeCell ref="A27:C27"/>
    <mergeCell ref="A24:C2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Aryan K.</cp:lastModifiedBy>
  <cp:revision/>
  <dcterms:created xsi:type="dcterms:W3CDTF">2026-04-05T09:55:00Z</dcterms:created>
  <dcterms:modified xsi:type="dcterms:W3CDTF">2026-04-08T01:40:55Z</dcterms:modified>
  <cp:category/>
  <cp:contentStatus/>
</cp:coreProperties>
</file>